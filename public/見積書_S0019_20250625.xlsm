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00_payment\ueda\"/>
    </mc:Choice>
  </mc:AlternateContent>
  <bookViews>
    <workbookView xWindow="0" yWindow="0" windowWidth="38400" windowHeight="19390" tabRatio="829" activeTab="9"/>
  </bookViews>
  <sheets>
    <sheet name="要件定義書" sheetId="20" r:id="rId1"/>
    <sheet name="考察" sheetId="6" r:id="rId2"/>
    <sheet name="設備フロー" sheetId="2" r:id="rId3"/>
    <sheet name="データフロー" sheetId="8" r:id="rId4"/>
    <sheet name="業務フロー" sheetId="21" r:id="rId5"/>
    <sheet name="効果" sheetId="4" r:id="rId6"/>
    <sheet name="開発" sheetId="5" r:id="rId7"/>
    <sheet name="レイアウト" sheetId="11" r:id="rId8"/>
    <sheet name="購入リスト" sheetId="3" r:id="rId9"/>
    <sheet name="購入リスト_2026" sheetId="26" r:id="rId10"/>
    <sheet name="現状の問題点と解決方法" sheetId="22" r:id="rId11"/>
    <sheet name="具体的な比較" sheetId="24" r:id="rId12"/>
    <sheet name="見積書" sheetId="10" r:id="rId13"/>
    <sheet name="更新履歴" sheetId="25" r:id="rId14"/>
  </sheets>
  <definedNames>
    <definedName name="_xlnm._FilterDatabase" localSheetId="8" hidden="1">購入リスト!$E$14:$O$42</definedName>
    <definedName name="_xlnm._FilterDatabase" localSheetId="9" hidden="1">購入リスト_2026!$E$14:$O$42</definedName>
    <definedName name="_xlnm.Print_Area" localSheetId="3">データフロー!$A$1:$M$42</definedName>
    <definedName name="_xlnm.Print_Area" localSheetId="7">レイアウト!$A$1:$CB$106</definedName>
    <definedName name="_xlnm.Print_Area" localSheetId="6">開発!$A$1:$I$65</definedName>
    <definedName name="_xlnm.Print_Area" localSheetId="4">業務フロー!$A$1:$F$59</definedName>
    <definedName name="_xlnm.Print_Area" localSheetId="11">具体的な比較!$A$1:$D$52</definedName>
    <definedName name="_xlnm.Print_Area" localSheetId="12">見積書!$A$1:$J$62</definedName>
    <definedName name="_xlnm.Print_Area" localSheetId="10">現状の問題点と解決方法!$A$1:$C$43</definedName>
    <definedName name="_xlnm.Print_Area" localSheetId="5">効果!$A$1:$L$25</definedName>
    <definedName name="_xlnm.Print_Area" localSheetId="8">購入リスト!$A$1:$N$88</definedName>
    <definedName name="_xlnm.Print_Area" localSheetId="9">購入リスト_2026!$A$1:$N$88</definedName>
    <definedName name="_xlnm.Print_Area" localSheetId="0">要件定義書!$A$1:$L$69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26" l="1"/>
  <c r="E10" i="26"/>
  <c r="E9" i="26"/>
  <c r="E8" i="26"/>
  <c r="E6" i="26"/>
  <c r="E5" i="26"/>
  <c r="E4" i="26"/>
  <c r="F5" i="26"/>
  <c r="N22" i="26"/>
  <c r="N38" i="26"/>
  <c r="M36" i="26"/>
  <c r="N36" i="26" s="1"/>
  <c r="K36" i="26"/>
  <c r="L36" i="26" s="1"/>
  <c r="M35" i="26"/>
  <c r="N35" i="26" s="1"/>
  <c r="K35" i="26"/>
  <c r="L35" i="26" s="1"/>
  <c r="M34" i="26"/>
  <c r="N34" i="26" s="1"/>
  <c r="K34" i="26"/>
  <c r="L34" i="26" s="1"/>
  <c r="N33" i="26"/>
  <c r="K33" i="26"/>
  <c r="L33" i="26" s="1"/>
  <c r="N32" i="26"/>
  <c r="K32" i="26"/>
  <c r="L32" i="26" s="1"/>
  <c r="N31" i="26"/>
  <c r="K31" i="26"/>
  <c r="L31" i="26" s="1"/>
  <c r="N30" i="26"/>
  <c r="K30" i="26"/>
  <c r="L30" i="26" s="1"/>
  <c r="N29" i="26"/>
  <c r="K29" i="26"/>
  <c r="L29" i="26" s="1"/>
  <c r="N28" i="26"/>
  <c r="K28" i="26"/>
  <c r="L28" i="26" s="1"/>
  <c r="N27" i="26"/>
  <c r="K27" i="26"/>
  <c r="L27" i="26" s="1"/>
  <c r="N26" i="26"/>
  <c r="K26" i="26"/>
  <c r="L26" i="26" s="1"/>
  <c r="N25" i="26"/>
  <c r="K25" i="26"/>
  <c r="L25" i="26" s="1"/>
  <c r="N24" i="26"/>
  <c r="K24" i="26"/>
  <c r="L24" i="26" s="1"/>
  <c r="N23" i="26"/>
  <c r="K23" i="26"/>
  <c r="L23" i="26" s="1"/>
  <c r="N21" i="26"/>
  <c r="K21" i="26"/>
  <c r="L21" i="26" s="1"/>
  <c r="M20" i="26"/>
  <c r="N20" i="26" s="1"/>
  <c r="K20" i="26"/>
  <c r="L20" i="26" s="1"/>
  <c r="M19" i="26"/>
  <c r="N19" i="26" s="1"/>
  <c r="K19" i="26"/>
  <c r="L19" i="26" s="1"/>
  <c r="M18" i="26"/>
  <c r="N18" i="26" s="1"/>
  <c r="K18" i="26"/>
  <c r="L18" i="26" s="1"/>
  <c r="M17" i="26"/>
  <c r="N17" i="26" s="1"/>
  <c r="K17" i="26"/>
  <c r="L17" i="26" s="1"/>
  <c r="M16" i="26"/>
  <c r="N16" i="26" s="1"/>
  <c r="K16" i="26"/>
  <c r="L16" i="26" s="1"/>
  <c r="M15" i="26"/>
  <c r="N15" i="26" s="1"/>
  <c r="K15" i="26"/>
  <c r="F10" i="26"/>
  <c r="F9" i="26"/>
  <c r="F8" i="26"/>
  <c r="F7" i="26"/>
  <c r="F6" i="26"/>
  <c r="F4" i="26"/>
  <c r="F11" i="26" l="1"/>
  <c r="O37" i="26"/>
  <c r="I37" i="26"/>
  <c r="I38" i="26" s="1"/>
  <c r="I40" i="26" s="1"/>
  <c r="I42" i="26" s="1"/>
  <c r="L15" i="26"/>
  <c r="L37" i="26" s="1"/>
  <c r="L39" i="26" s="1"/>
  <c r="N37" i="26"/>
  <c r="N39" i="26" s="1"/>
  <c r="I26" i="10"/>
  <c r="E14" i="4" l="1"/>
  <c r="O37" i="3" l="1"/>
  <c r="N38" i="3"/>
  <c r="I11" i="5" l="1"/>
  <c r="I12" i="5"/>
  <c r="I10" i="5"/>
  <c r="I24" i="10"/>
  <c r="I23" i="10"/>
  <c r="E10" i="3" l="1"/>
  <c r="E9" i="3"/>
  <c r="E8" i="3"/>
  <c r="E7" i="3"/>
  <c r="E6" i="3"/>
  <c r="E5" i="3"/>
  <c r="E4" i="3"/>
  <c r="I30" i="10" l="1"/>
  <c r="I31" i="10"/>
  <c r="I32" i="10"/>
  <c r="I29" i="10"/>
  <c r="I28" i="10"/>
  <c r="I27" i="10"/>
  <c r="I25" i="10"/>
  <c r="I8" i="5" l="1"/>
  <c r="I7" i="5"/>
  <c r="I9" i="5"/>
  <c r="I5" i="5"/>
  <c r="N25" i="3"/>
  <c r="N33" i="3"/>
  <c r="N32" i="3"/>
  <c r="N31" i="3"/>
  <c r="N30" i="3"/>
  <c r="N29" i="3"/>
  <c r="N28" i="3"/>
  <c r="N27" i="3"/>
  <c r="N24" i="3"/>
  <c r="N23" i="3"/>
  <c r="N22" i="3"/>
  <c r="N21" i="3"/>
  <c r="M36" i="3"/>
  <c r="N36" i="3" s="1"/>
  <c r="M35" i="3"/>
  <c r="N35" i="3" s="1"/>
  <c r="M34" i="3"/>
  <c r="N34" i="3" s="1"/>
  <c r="N26" i="3"/>
  <c r="M20" i="3"/>
  <c r="N20" i="3" s="1"/>
  <c r="M19" i="3"/>
  <c r="N19" i="3" s="1"/>
  <c r="M18" i="3"/>
  <c r="N18" i="3" s="1"/>
  <c r="M17" i="3"/>
  <c r="N17" i="3" s="1"/>
  <c r="M16" i="3"/>
  <c r="N16" i="3" s="1"/>
  <c r="M15" i="3"/>
  <c r="K16" i="3"/>
  <c r="L16" i="3" s="1"/>
  <c r="K17" i="3"/>
  <c r="L17" i="3" s="1"/>
  <c r="K18" i="3"/>
  <c r="L18" i="3" s="1"/>
  <c r="K19" i="3"/>
  <c r="L19" i="3" s="1"/>
  <c r="K20" i="3"/>
  <c r="L20" i="3" s="1"/>
  <c r="K21" i="3"/>
  <c r="L21" i="3" s="1"/>
  <c r="K22" i="3"/>
  <c r="L22" i="3" s="1"/>
  <c r="K23" i="3"/>
  <c r="L23" i="3" s="1"/>
  <c r="K24" i="3"/>
  <c r="L24" i="3" s="1"/>
  <c r="K25" i="3"/>
  <c r="L25" i="3" s="1"/>
  <c r="K26" i="3"/>
  <c r="L26" i="3" s="1"/>
  <c r="K27" i="3"/>
  <c r="L27" i="3" s="1"/>
  <c r="K28" i="3"/>
  <c r="L28" i="3" s="1"/>
  <c r="K29" i="3"/>
  <c r="L29" i="3" s="1"/>
  <c r="K30" i="3"/>
  <c r="L30" i="3" s="1"/>
  <c r="K31" i="3"/>
  <c r="L31" i="3" s="1"/>
  <c r="K32" i="3"/>
  <c r="L32" i="3" s="1"/>
  <c r="K33" i="3"/>
  <c r="L33" i="3" s="1"/>
  <c r="K34" i="3"/>
  <c r="L34" i="3" s="1"/>
  <c r="K35" i="3"/>
  <c r="L35" i="3" s="1"/>
  <c r="K36" i="3"/>
  <c r="L36" i="3" s="1"/>
  <c r="K15" i="3"/>
  <c r="L15" i="3" s="1"/>
  <c r="N15" i="3" l="1"/>
  <c r="N37" i="3" s="1"/>
  <c r="I22" i="10"/>
  <c r="I21" i="10"/>
  <c r="I20" i="10"/>
  <c r="I6" i="5"/>
  <c r="I4" i="5"/>
  <c r="I13" i="5" l="1"/>
  <c r="I34" i="10"/>
  <c r="I35" i="10" s="1"/>
  <c r="I36" i="10" s="1"/>
  <c r="A11" i="10" l="1"/>
  <c r="N39" i="3" l="1"/>
  <c r="C13" i="4" l="1"/>
  <c r="D13" i="4"/>
  <c r="E13" i="4"/>
  <c r="I37" i="3" l="1"/>
  <c r="I38" i="3" s="1"/>
  <c r="I40" i="3" s="1"/>
  <c r="I42" i="3" s="1"/>
  <c r="D14" i="4"/>
  <c r="E11" i="3"/>
  <c r="L37" i="3" l="1"/>
  <c r="L39" i="3" s="1"/>
</calcChain>
</file>

<file path=xl/sharedStrings.xml><?xml version="1.0" encoding="utf-8"?>
<sst xmlns="http://schemas.openxmlformats.org/spreadsheetml/2006/main" count="705" uniqueCount="398">
  <si>
    <t>MODE1</t>
    <phoneticPr fontId="1"/>
  </si>
  <si>
    <t>MODE2</t>
    <phoneticPr fontId="1"/>
  </si>
  <si>
    <t>MODE3</t>
    <phoneticPr fontId="1"/>
  </si>
  <si>
    <t>手圧着+JOINT(10台)</t>
    <rPh sb="0" eb="3">
      <t>テアッチャク</t>
    </rPh>
    <rPh sb="12" eb="13">
      <t>ダイ</t>
    </rPh>
    <phoneticPr fontId="1"/>
  </si>
  <si>
    <t>皮むき</t>
    <rPh sb="0" eb="1">
      <t>カワ</t>
    </rPh>
    <phoneticPr fontId="1"/>
  </si>
  <si>
    <t>皮むき(5台)</t>
    <rPh sb="0" eb="1">
      <t>カワ</t>
    </rPh>
    <rPh sb="5" eb="6">
      <t>ダイ</t>
    </rPh>
    <phoneticPr fontId="1"/>
  </si>
  <si>
    <t>シールド切断</t>
    <rPh sb="4" eb="6">
      <t>セツダン</t>
    </rPh>
    <phoneticPr fontId="1"/>
  </si>
  <si>
    <t>=既存</t>
    <phoneticPr fontId="1"/>
  </si>
  <si>
    <t>=確認要</t>
    <rPh sb="1" eb="3">
      <t>カクニン</t>
    </rPh>
    <rPh sb="3" eb="4">
      <t>ヨウ</t>
    </rPh>
    <phoneticPr fontId="1"/>
  </si>
  <si>
    <t>準完チェック</t>
    <rPh sb="0" eb="1">
      <t>ジュン</t>
    </rPh>
    <rPh sb="1" eb="2">
      <t>カン</t>
    </rPh>
    <phoneticPr fontId="1"/>
  </si>
  <si>
    <t>シールド切断(3台)</t>
    <rPh sb="4" eb="6">
      <t>セツダン</t>
    </rPh>
    <rPh sb="8" eb="9">
      <t>ダイ</t>
    </rPh>
    <phoneticPr fontId="1"/>
  </si>
  <si>
    <t>準完チェック(1台)</t>
    <rPh sb="0" eb="1">
      <t>ジュン</t>
    </rPh>
    <rPh sb="1" eb="2">
      <t>カン</t>
    </rPh>
    <rPh sb="8" eb="9">
      <t>ダイ</t>
    </rPh>
    <phoneticPr fontId="1"/>
  </si>
  <si>
    <t>その他</t>
    <rPh sb="2" eb="3">
      <t>タ</t>
    </rPh>
    <phoneticPr fontId="1"/>
  </si>
  <si>
    <t>=印刷物</t>
    <rPh sb="1" eb="3">
      <t>インサツ</t>
    </rPh>
    <rPh sb="3" eb="4">
      <t>ブツ</t>
    </rPh>
    <phoneticPr fontId="1"/>
  </si>
  <si>
    <t>検討)</t>
    <rPh sb="0" eb="2">
      <t>ケントウ</t>
    </rPh>
    <phoneticPr fontId="1"/>
  </si>
  <si>
    <t>=新規システム</t>
    <rPh sb="1" eb="3">
      <t>シンキ</t>
    </rPh>
    <phoneticPr fontId="1"/>
  </si>
  <si>
    <t>手圧着</t>
    <rPh sb="0" eb="3">
      <t>テアッチャク</t>
    </rPh>
    <phoneticPr fontId="1"/>
  </si>
  <si>
    <t>分類</t>
    <rPh sb="0" eb="2">
      <t>ブンルイ</t>
    </rPh>
    <phoneticPr fontId="1"/>
  </si>
  <si>
    <t>台数</t>
    <rPh sb="0" eb="2">
      <t>ダイスウ</t>
    </rPh>
    <phoneticPr fontId="1"/>
  </si>
  <si>
    <t>数量</t>
    <rPh sb="0" eb="2">
      <t>スウリョウ</t>
    </rPh>
    <phoneticPr fontId="1"/>
  </si>
  <si>
    <t>品番</t>
    <rPh sb="0" eb="2">
      <t>ヒンバン</t>
    </rPh>
    <phoneticPr fontId="1"/>
  </si>
  <si>
    <t>品名</t>
    <rPh sb="0" eb="2">
      <t>ヒンメイ</t>
    </rPh>
    <phoneticPr fontId="1"/>
  </si>
  <si>
    <t>メーカー</t>
    <phoneticPr fontId="1"/>
  </si>
  <si>
    <t>単価</t>
    <rPh sb="0" eb="2">
      <t>タンカ</t>
    </rPh>
    <phoneticPr fontId="1"/>
  </si>
  <si>
    <t>PC</t>
    <phoneticPr fontId="1"/>
  </si>
  <si>
    <t>QRリーダー</t>
    <phoneticPr fontId="1"/>
  </si>
  <si>
    <t>参考サイト</t>
    <rPh sb="0" eb="2">
      <t>サンコウ</t>
    </rPh>
    <phoneticPr fontId="1"/>
  </si>
  <si>
    <t>memo</t>
    <phoneticPr fontId="1"/>
  </si>
  <si>
    <t>サーバー</t>
    <phoneticPr fontId="1"/>
  </si>
  <si>
    <t>I-O DATA</t>
    <phoneticPr fontId="1"/>
  </si>
  <si>
    <t>USBシリアル変換</t>
    <rPh sb="7" eb="9">
      <t>ヘンカン</t>
    </rPh>
    <phoneticPr fontId="1"/>
  </si>
  <si>
    <t>USB-RSAQ7R</t>
    <phoneticPr fontId="1"/>
  </si>
  <si>
    <t>金額</t>
    <rPh sb="0" eb="2">
      <t>キンガク</t>
    </rPh>
    <phoneticPr fontId="1"/>
  </si>
  <si>
    <t>Synology</t>
    <phoneticPr fontId="1"/>
  </si>
  <si>
    <t>NAS本体</t>
    <rPh sb="3" eb="5">
      <t>ホンタイ</t>
    </rPh>
    <phoneticPr fontId="1"/>
  </si>
  <si>
    <t>配線</t>
    <rPh sb="0" eb="2">
      <t>ハイセン</t>
    </rPh>
    <phoneticPr fontId="1"/>
  </si>
  <si>
    <t>Cisco</t>
    <phoneticPr fontId="1"/>
  </si>
  <si>
    <t>LAN HUB 24ポート</t>
    <phoneticPr fontId="1"/>
  </si>
  <si>
    <t>elecom</t>
    <phoneticPr fontId="1"/>
  </si>
  <si>
    <t>LANケーブルCAT6A</t>
    <phoneticPr fontId="1"/>
  </si>
  <si>
    <t>https://x.gd/5Bsck</t>
  </si>
  <si>
    <t>https://x.gd/n2Ox0</t>
  </si>
  <si>
    <t>https://x.gd/22NMO</t>
  </si>
  <si>
    <t>https://x.gd/YwUQD</t>
  </si>
  <si>
    <t>https://x.gd/1iO2c</t>
  </si>
  <si>
    <t>部品リスト/分類1台あたり</t>
    <rPh sb="0" eb="2">
      <t>ブヒン</t>
    </rPh>
    <rPh sb="6" eb="8">
      <t>ブンルイ</t>
    </rPh>
    <rPh sb="9" eb="10">
      <t>ダイ</t>
    </rPh>
    <phoneticPr fontId="1"/>
  </si>
  <si>
    <t>サンワ</t>
    <phoneticPr fontId="1"/>
  </si>
  <si>
    <t>LANケーブルカシメ</t>
    <phoneticPr fontId="1"/>
  </si>
  <si>
    <t>賃金</t>
    <rPh sb="0" eb="2">
      <t>チンギン</t>
    </rPh>
    <phoneticPr fontId="1"/>
  </si>
  <si>
    <t>工数/日</t>
    <rPh sb="0" eb="2">
      <t>コウスウ</t>
    </rPh>
    <rPh sb="3" eb="4">
      <t>ヒ</t>
    </rPh>
    <phoneticPr fontId="1"/>
  </si>
  <si>
    <t>効率</t>
    <rPh sb="0" eb="2">
      <t>コウリツ</t>
    </rPh>
    <phoneticPr fontId="1"/>
  </si>
  <si>
    <t>人件費</t>
    <rPh sb="0" eb="3">
      <t>ジンケンヒ</t>
    </rPh>
    <phoneticPr fontId="1"/>
  </si>
  <si>
    <t>100m</t>
    <phoneticPr fontId="1"/>
  </si>
  <si>
    <t>https://x.gd/VmsQg</t>
    <phoneticPr fontId="1"/>
  </si>
  <si>
    <t>RJ45 100個</t>
    <rPh sb="8" eb="9">
      <t>コ</t>
    </rPh>
    <phoneticPr fontId="1"/>
  </si>
  <si>
    <t>Tsdrena</t>
    <phoneticPr fontId="1"/>
  </si>
  <si>
    <t>消費電力</t>
    <rPh sb="0" eb="2">
      <t>ショウヒ</t>
    </rPh>
    <rPh sb="2" eb="4">
      <t>デンリョク</t>
    </rPh>
    <phoneticPr fontId="1"/>
  </si>
  <si>
    <t>https://x.gd/aAn41</t>
  </si>
  <si>
    <t>無線</t>
    <rPh sb="0" eb="2">
      <t>ムセン</t>
    </rPh>
    <phoneticPr fontId="1"/>
  </si>
  <si>
    <t>Baffalo</t>
    <phoneticPr fontId="1"/>
  </si>
  <si>
    <t>無線LANルーター</t>
    <rPh sb="0" eb="2">
      <t>ムセン</t>
    </rPh>
    <phoneticPr fontId="1"/>
  </si>
  <si>
    <t>32台まで</t>
    <rPh sb="2" eb="3">
      <t>ダイ</t>
    </rPh>
    <phoneticPr fontId="1"/>
  </si>
  <si>
    <t>総数</t>
    <rPh sb="0" eb="2">
      <t>ソウスウ</t>
    </rPh>
    <phoneticPr fontId="1"/>
  </si>
  <si>
    <t>合計</t>
    <rPh sb="0" eb="2">
      <t>ゴウケイ</t>
    </rPh>
    <phoneticPr fontId="1"/>
  </si>
  <si>
    <t>差</t>
    <rPh sb="0" eb="1">
      <t>サ</t>
    </rPh>
    <phoneticPr fontId="1"/>
  </si>
  <si>
    <t>EXCEL</t>
    <phoneticPr fontId="1"/>
  </si>
  <si>
    <t>名称(仮)</t>
    <rPh sb="0" eb="2">
      <t>メイショウ</t>
    </rPh>
    <rPh sb="3" eb="4">
      <t>カリ</t>
    </rPh>
    <phoneticPr fontId="1"/>
  </si>
  <si>
    <t>設備接続フロー図</t>
    <rPh sb="0" eb="2">
      <t>セツビ</t>
    </rPh>
    <rPh sb="2" eb="4">
      <t>セツゾク</t>
    </rPh>
    <rPh sb="7" eb="8">
      <t>ズ</t>
    </rPh>
    <phoneticPr fontId="1"/>
  </si>
  <si>
    <t>効果(予想)</t>
    <rPh sb="0" eb="2">
      <t>コウカ</t>
    </rPh>
    <rPh sb="3" eb="5">
      <t>ヨソウ</t>
    </rPh>
    <phoneticPr fontId="1"/>
  </si>
  <si>
    <t>現在の作業効率を100%ととした時の予想効果</t>
    <rPh sb="0" eb="2">
      <t>ゲンザイ</t>
    </rPh>
    <rPh sb="3" eb="5">
      <t>サギョウ</t>
    </rPh>
    <rPh sb="5" eb="7">
      <t>コウリツ</t>
    </rPh>
    <rPh sb="16" eb="17">
      <t>トキ</t>
    </rPh>
    <rPh sb="18" eb="20">
      <t>ヨソウ</t>
    </rPh>
    <rPh sb="20" eb="22">
      <t>コウカ</t>
    </rPh>
    <phoneticPr fontId="1"/>
  </si>
  <si>
    <t>memo</t>
    <phoneticPr fontId="1"/>
  </si>
  <si>
    <t>※全てのソフトには初期PCへのセットアップ手順書を付属します</t>
    <rPh sb="1" eb="2">
      <t>スベ</t>
    </rPh>
    <rPh sb="9" eb="11">
      <t>ショキ</t>
    </rPh>
    <rPh sb="21" eb="24">
      <t>テジュンショ</t>
    </rPh>
    <rPh sb="25" eb="27">
      <t>フゾク</t>
    </rPh>
    <phoneticPr fontId="1"/>
  </si>
  <si>
    <t>№</t>
    <phoneticPr fontId="1"/>
  </si>
  <si>
    <t>購入品リスト</t>
    <rPh sb="0" eb="3">
      <t>コウニュウヒン</t>
    </rPh>
    <phoneticPr fontId="1"/>
  </si>
  <si>
    <t>案1.PCとQRリーダー各1台</t>
    <rPh sb="0" eb="1">
      <t>アン</t>
    </rPh>
    <rPh sb="12" eb="13">
      <t>カク</t>
    </rPh>
    <rPh sb="14" eb="15">
      <t>ダイ</t>
    </rPh>
    <phoneticPr fontId="1"/>
  </si>
  <si>
    <t>案2.各従業員様のスマホとWEBサーバー</t>
    <rPh sb="0" eb="1">
      <t>アン</t>
    </rPh>
    <rPh sb="3" eb="4">
      <t>カク</t>
    </rPh>
    <rPh sb="4" eb="7">
      <t>ジュウギョウイン</t>
    </rPh>
    <rPh sb="7" eb="8">
      <t>サマ</t>
    </rPh>
    <phoneticPr fontId="1"/>
  </si>
  <si>
    <t>1.タイムカードシステム</t>
    <phoneticPr fontId="1"/>
  </si>
  <si>
    <t>2.生産状況の可視化</t>
    <rPh sb="2" eb="4">
      <t>セイサン</t>
    </rPh>
    <rPh sb="4" eb="6">
      <t>ジョウキョウ</t>
    </rPh>
    <rPh sb="7" eb="10">
      <t>カシカ</t>
    </rPh>
    <phoneticPr fontId="1"/>
  </si>
  <si>
    <t>/日</t>
    <rPh sb="1" eb="2">
      <t>ヒ</t>
    </rPh>
    <phoneticPr fontId="1"/>
  </si>
  <si>
    <t>かんばん管理</t>
    <rPh sb="4" eb="6">
      <t>カンリ</t>
    </rPh>
    <phoneticPr fontId="1"/>
  </si>
  <si>
    <t>ACCESS</t>
    <phoneticPr fontId="1"/>
  </si>
  <si>
    <t>VB.netは性能が高いですが改良する際に扱える人が少ないのでACCESSにしました</t>
    <rPh sb="7" eb="9">
      <t>セイノウ</t>
    </rPh>
    <rPh sb="10" eb="11">
      <t>タカ</t>
    </rPh>
    <rPh sb="15" eb="17">
      <t>カイリョウ</t>
    </rPh>
    <rPh sb="19" eb="20">
      <t>サイ</t>
    </rPh>
    <rPh sb="21" eb="22">
      <t>アツカ</t>
    </rPh>
    <rPh sb="24" eb="25">
      <t>ヒト</t>
    </rPh>
    <rPh sb="26" eb="27">
      <t>スク</t>
    </rPh>
    <phoneticPr fontId="1"/>
  </si>
  <si>
    <t>3.手元を照らす</t>
    <rPh sb="2" eb="4">
      <t>テモト</t>
    </rPh>
    <rPh sb="5" eb="6">
      <t>テ</t>
    </rPh>
    <phoneticPr fontId="1"/>
  </si>
  <si>
    <t>とても小さいLEDをプレス機の安全カバーに取り付け</t>
    <rPh sb="3" eb="4">
      <t>チイ</t>
    </rPh>
    <rPh sb="13" eb="14">
      <t>キ</t>
    </rPh>
    <rPh sb="15" eb="17">
      <t>アンゼン</t>
    </rPh>
    <rPh sb="21" eb="22">
      <t>ト</t>
    </rPh>
    <rPh sb="23" eb="24">
      <t>ツ</t>
    </rPh>
    <phoneticPr fontId="1"/>
  </si>
  <si>
    <t>金額</t>
    <rPh sb="0" eb="2">
      <t>キンガク</t>
    </rPh>
    <phoneticPr fontId="1"/>
  </si>
  <si>
    <t>└視認性をあげて目の負担と圧着不良を軽減</t>
    <rPh sb="1" eb="4">
      <t>シニンセイ</t>
    </rPh>
    <rPh sb="8" eb="9">
      <t>メ</t>
    </rPh>
    <rPh sb="10" eb="12">
      <t>フタン</t>
    </rPh>
    <rPh sb="13" eb="15">
      <t>アッチャク</t>
    </rPh>
    <rPh sb="15" eb="17">
      <t>フリョウ</t>
    </rPh>
    <rPh sb="18" eb="20">
      <t>ケイゲン</t>
    </rPh>
    <phoneticPr fontId="1"/>
  </si>
  <si>
    <t>印刷、シールドデータ登録、実績まとめ</t>
    <rPh sb="0" eb="2">
      <t>インサツ</t>
    </rPh>
    <rPh sb="10" eb="12">
      <t>トウロク</t>
    </rPh>
    <rPh sb="13" eb="15">
      <t>ジッセキ</t>
    </rPh>
    <phoneticPr fontId="1"/>
  </si>
  <si>
    <t>実績入力</t>
    <rPh sb="0" eb="2">
      <t>ジッセキ</t>
    </rPh>
    <rPh sb="2" eb="4">
      <t>ニュウリョク</t>
    </rPh>
    <phoneticPr fontId="1"/>
  </si>
  <si>
    <t>かんばん管理</t>
    <rPh sb="4" eb="6">
      <t>カンリ</t>
    </rPh>
    <phoneticPr fontId="1"/>
  </si>
  <si>
    <t>データフロー図</t>
    <rPh sb="6" eb="7">
      <t>ズ</t>
    </rPh>
    <phoneticPr fontId="1"/>
  </si>
  <si>
    <t>手圧着</t>
    <rPh sb="0" eb="3">
      <t>テアッチャク</t>
    </rPh>
    <phoneticPr fontId="1"/>
  </si>
  <si>
    <t>圧着</t>
    <rPh sb="0" eb="2">
      <t>アッチャク</t>
    </rPh>
    <phoneticPr fontId="1"/>
  </si>
  <si>
    <t>効果は段取り変え回数とロット本数に左右されます</t>
    <rPh sb="0" eb="2">
      <t>コウカ</t>
    </rPh>
    <rPh sb="3" eb="5">
      <t>ダンド</t>
    </rPh>
    <rPh sb="6" eb="7">
      <t>カ</t>
    </rPh>
    <rPh sb="8" eb="10">
      <t>カイスウ</t>
    </rPh>
    <rPh sb="14" eb="16">
      <t>ホンスウ</t>
    </rPh>
    <rPh sb="17" eb="19">
      <t>サユウ</t>
    </rPh>
    <phoneticPr fontId="1"/>
  </si>
  <si>
    <t>05CZA662</t>
    <phoneticPr fontId="12"/>
  </si>
  <si>
    <t>→右図のようなマイクロメータ右側に差し込むタイプ</t>
    <rPh sb="1" eb="3">
      <t>ミギズ</t>
    </rPh>
    <rPh sb="14" eb="16">
      <t>ミギガワ</t>
    </rPh>
    <rPh sb="17" eb="18">
      <t>サ</t>
    </rPh>
    <rPh sb="19" eb="20">
      <t>コ</t>
    </rPh>
    <phoneticPr fontId="12"/>
  </si>
  <si>
    <t>→丸形でマイクロメータ裏側に差し込むタイプ</t>
    <rPh sb="1" eb="3">
      <t>マルガタ</t>
    </rPh>
    <rPh sb="11" eb="13">
      <t>ウラガワ</t>
    </rPh>
    <rPh sb="14" eb="15">
      <t>サ</t>
    </rPh>
    <rPh sb="16" eb="17">
      <t>コ</t>
    </rPh>
    <phoneticPr fontId="12"/>
  </si>
  <si>
    <t>インプットツール</t>
    <phoneticPr fontId="1"/>
  </si>
  <si>
    <t>インプットツール用コード</t>
    <rPh sb="8" eb="9">
      <t>ヨウ</t>
    </rPh>
    <phoneticPr fontId="1"/>
  </si>
  <si>
    <t>ミツトヨ</t>
    <phoneticPr fontId="1"/>
  </si>
  <si>
    <t>要確認</t>
    <rPh sb="0" eb="1">
      <t>ヨウ</t>
    </rPh>
    <rPh sb="1" eb="3">
      <t>カクニン</t>
    </rPh>
    <phoneticPr fontId="1"/>
  </si>
  <si>
    <t>インプットツール用コードの型番</t>
    <rPh sb="8" eb="9">
      <t>ヨウ</t>
    </rPh>
    <rPh sb="13" eb="15">
      <t>カタバン</t>
    </rPh>
    <phoneticPr fontId="12"/>
  </si>
  <si>
    <t>インプットツールの型番</t>
    <rPh sb="9" eb="11">
      <t>カタバン</t>
    </rPh>
    <phoneticPr fontId="1"/>
  </si>
  <si>
    <t>05CZA662</t>
    <phoneticPr fontId="1"/>
  </si>
  <si>
    <t>開発と作業費</t>
    <rPh sb="0" eb="2">
      <t>カイハツ</t>
    </rPh>
    <rPh sb="3" eb="5">
      <t>サギョウ</t>
    </rPh>
    <rPh sb="5" eb="6">
      <t>ヒ</t>
    </rPh>
    <phoneticPr fontId="1"/>
  </si>
  <si>
    <t>分類</t>
    <rPh sb="0" eb="2">
      <t>ブンルイ</t>
    </rPh>
    <phoneticPr fontId="1"/>
  </si>
  <si>
    <t>開発</t>
    <rPh sb="0" eb="2">
      <t>カイハツ</t>
    </rPh>
    <phoneticPr fontId="1"/>
  </si>
  <si>
    <t>└20台規模だとACCESSが一般的です</t>
    <rPh sb="3" eb="4">
      <t>ダイ</t>
    </rPh>
    <rPh sb="4" eb="6">
      <t>キボ</t>
    </rPh>
    <rPh sb="15" eb="18">
      <t>イッパンテキ</t>
    </rPh>
    <phoneticPr fontId="1"/>
  </si>
  <si>
    <t>└ACCESSはデザインがどうしても古くなります</t>
    <rPh sb="18" eb="19">
      <t>フル</t>
    </rPh>
    <phoneticPr fontId="1"/>
  </si>
  <si>
    <t>Micosoft Office2010以上が必要です</t>
    <rPh sb="19" eb="21">
      <t>イジョウ</t>
    </rPh>
    <rPh sb="22" eb="24">
      <t>ヒツヨウ</t>
    </rPh>
    <phoneticPr fontId="1"/>
  </si>
  <si>
    <t>2019を持っているという事で上記には含んでいません</t>
    <rPh sb="5" eb="6">
      <t>モ</t>
    </rPh>
    <rPh sb="13" eb="14">
      <t>コト</t>
    </rPh>
    <rPh sb="15" eb="17">
      <t>ジョウキ</t>
    </rPh>
    <rPh sb="19" eb="20">
      <t>フク</t>
    </rPh>
    <phoneticPr fontId="1"/>
  </si>
  <si>
    <t>CBS110-24T-JP</t>
    <phoneticPr fontId="1"/>
  </si>
  <si>
    <t>平均</t>
    <rPh sb="0" eb="2">
      <t>ヘイキン</t>
    </rPh>
    <phoneticPr fontId="1"/>
  </si>
  <si>
    <t>消費電力wh</t>
    <rPh sb="0" eb="4">
      <t>ショウヒデンリョク</t>
    </rPh>
    <phoneticPr fontId="1"/>
  </si>
  <si>
    <t>消費電力kwh</t>
    <rPh sb="0" eb="2">
      <t>ショウヒ</t>
    </rPh>
    <rPh sb="2" eb="4">
      <t>デンリョク</t>
    </rPh>
    <phoneticPr fontId="1"/>
  </si>
  <si>
    <t>稼働時間</t>
    <rPh sb="0" eb="2">
      <t>カドウ</t>
    </rPh>
    <rPh sb="2" eb="4">
      <t>ジカン</t>
    </rPh>
    <phoneticPr fontId="1"/>
  </si>
  <si>
    <t>使用電力量</t>
    <rPh sb="0" eb="2">
      <t>シヨウ</t>
    </rPh>
    <rPh sb="2" eb="5">
      <t>デンリョクリョウ</t>
    </rPh>
    <phoneticPr fontId="1"/>
  </si>
  <si>
    <t>電気料金単価</t>
    <rPh sb="0" eb="4">
      <t>デンキリョウキン</t>
    </rPh>
    <rPh sb="4" eb="6">
      <t>タンカ</t>
    </rPh>
    <phoneticPr fontId="1"/>
  </si>
  <si>
    <t>電気料金/日</t>
    <rPh sb="0" eb="4">
      <t>デンキリョウキン</t>
    </rPh>
    <rPh sb="5" eb="6">
      <t>ヒ</t>
    </rPh>
    <phoneticPr fontId="1"/>
  </si>
  <si>
    <t>※システム１つに付き1台は設置を行います</t>
    <rPh sb="8" eb="9">
      <t>ツ</t>
    </rPh>
    <rPh sb="11" eb="12">
      <t>ダイ</t>
    </rPh>
    <rPh sb="13" eb="15">
      <t>セッチ</t>
    </rPh>
    <rPh sb="16" eb="17">
      <t>オコナ</t>
    </rPh>
    <phoneticPr fontId="1"/>
  </si>
  <si>
    <t>マイクロメーターの機種によって異なる為、確認が必要</t>
    <rPh sb="9" eb="11">
      <t>キシュ</t>
    </rPh>
    <rPh sb="15" eb="16">
      <t>コト</t>
    </rPh>
    <rPh sb="18" eb="19">
      <t>タメ</t>
    </rPh>
    <rPh sb="20" eb="22">
      <t>カクニン</t>
    </rPh>
    <rPh sb="23" eb="25">
      <t>ヒツヨウ</t>
    </rPh>
    <phoneticPr fontId="1"/>
  </si>
  <si>
    <t>単価</t>
    <rPh sb="0" eb="2">
      <t>タンカ</t>
    </rPh>
    <phoneticPr fontId="1"/>
  </si>
  <si>
    <t>PCセットアップから配線と設置</t>
    <rPh sb="10" eb="12">
      <t>ハイセン</t>
    </rPh>
    <rPh sb="13" eb="15">
      <t>セッチ</t>
    </rPh>
    <phoneticPr fontId="1"/>
  </si>
  <si>
    <t>-</t>
    <phoneticPr fontId="1"/>
  </si>
  <si>
    <t>必用ソフト</t>
    <rPh sb="0" eb="2">
      <t>ヒツヨウ</t>
    </rPh>
    <phoneticPr fontId="1"/>
  </si>
  <si>
    <t>№3の設置についてはウエダ様の方で行う事をお勧めします</t>
    <rPh sb="3" eb="5">
      <t>セッチ</t>
    </rPh>
    <rPh sb="13" eb="14">
      <t>サマ</t>
    </rPh>
    <rPh sb="15" eb="16">
      <t>ホウ</t>
    </rPh>
    <rPh sb="17" eb="18">
      <t>オコナ</t>
    </rPh>
    <rPh sb="19" eb="20">
      <t>コト</t>
    </rPh>
    <rPh sb="22" eb="23">
      <t>スス</t>
    </rPh>
    <phoneticPr fontId="1"/>
  </si>
  <si>
    <t>└2台目以降をウエダ様がセットアップ手順書を見ながら行う事で手順書の修正を行いたいです</t>
    <rPh sb="2" eb="4">
      <t>ダイメ</t>
    </rPh>
    <rPh sb="4" eb="6">
      <t>イコウ</t>
    </rPh>
    <rPh sb="10" eb="11">
      <t>サマ</t>
    </rPh>
    <rPh sb="18" eb="21">
      <t>テジュンショ</t>
    </rPh>
    <rPh sb="22" eb="23">
      <t>ミ</t>
    </rPh>
    <rPh sb="26" eb="27">
      <t>オコナ</t>
    </rPh>
    <rPh sb="28" eb="29">
      <t>コト</t>
    </rPh>
    <rPh sb="30" eb="33">
      <t>テジュンショ</t>
    </rPh>
    <rPh sb="34" eb="36">
      <t>シュウセイ</t>
    </rPh>
    <rPh sb="37" eb="38">
      <t>オコナ</t>
    </rPh>
    <phoneticPr fontId="1"/>
  </si>
  <si>
    <t>安定して動作するまで不具合は無償で対応させて頂きます</t>
    <rPh sb="0" eb="2">
      <t>アンテイ</t>
    </rPh>
    <rPh sb="4" eb="6">
      <t>ドウサ</t>
    </rPh>
    <rPh sb="10" eb="13">
      <t>フグアイ</t>
    </rPh>
    <rPh sb="14" eb="16">
      <t>ムショウ</t>
    </rPh>
    <rPh sb="17" eb="19">
      <t>タイオウ</t>
    </rPh>
    <rPh sb="22" eb="23">
      <t>イタダ</t>
    </rPh>
    <phoneticPr fontId="1"/>
  </si>
  <si>
    <t>https://x.gd/aYYjg</t>
    <phoneticPr fontId="1"/>
  </si>
  <si>
    <t>非光沢フィルム</t>
    <rPh sb="0" eb="3">
      <t>ヒコウタク</t>
    </rPh>
    <phoneticPr fontId="1"/>
  </si>
  <si>
    <t>Lenovo</t>
  </si>
  <si>
    <t>Lenovo</t>
    <phoneticPr fontId="1"/>
  </si>
  <si>
    <t>https://x.gd/GHUlj</t>
  </si>
  <si>
    <t>FILMEXT</t>
  </si>
  <si>
    <t>FILMEXT</t>
    <phoneticPr fontId="1"/>
  </si>
  <si>
    <t>HAPN00045</t>
  </si>
  <si>
    <t>HAPN00045</t>
    <phoneticPr fontId="1"/>
  </si>
  <si>
    <t>画面が光沢有り</t>
    <rPh sb="0" eb="2">
      <t>ガメン</t>
    </rPh>
    <rPh sb="3" eb="5">
      <t>コウタク</t>
    </rPh>
    <rPh sb="5" eb="6">
      <t>ア</t>
    </rPh>
    <phoneticPr fontId="1"/>
  </si>
  <si>
    <t>PCについて</t>
    <phoneticPr fontId="1"/>
  </si>
  <si>
    <t>タブレットOSではACCESSが動作しない為Windowsを提案します</t>
    <rPh sb="16" eb="18">
      <t>ドウサ</t>
    </rPh>
    <rPh sb="21" eb="22">
      <t>タメ</t>
    </rPh>
    <rPh sb="30" eb="32">
      <t>テイアン</t>
    </rPh>
    <phoneticPr fontId="1"/>
  </si>
  <si>
    <t>タブレットOSで動作する専用アプリを作成する事は可能ですが扱える人が少ないので、</t>
    <rPh sb="8" eb="10">
      <t>ドウサ</t>
    </rPh>
    <rPh sb="12" eb="14">
      <t>センヨウ</t>
    </rPh>
    <rPh sb="18" eb="20">
      <t>サクセイ</t>
    </rPh>
    <rPh sb="22" eb="23">
      <t>コト</t>
    </rPh>
    <rPh sb="24" eb="26">
      <t>カノウ</t>
    </rPh>
    <rPh sb="29" eb="30">
      <t>アツカ</t>
    </rPh>
    <rPh sb="32" eb="33">
      <t>ヒト</t>
    </rPh>
    <rPh sb="34" eb="35">
      <t>スク</t>
    </rPh>
    <phoneticPr fontId="1"/>
  </si>
  <si>
    <t>今後の修正等を考えるとACCESSが動作するWindowsが良いと考えます</t>
    <rPh sb="0" eb="2">
      <t>コンゴ</t>
    </rPh>
    <rPh sb="3" eb="5">
      <t>シュウセイ</t>
    </rPh>
    <rPh sb="5" eb="6">
      <t>ナド</t>
    </rPh>
    <rPh sb="7" eb="8">
      <t>カンガ</t>
    </rPh>
    <rPh sb="18" eb="20">
      <t>ドウサ</t>
    </rPh>
    <rPh sb="30" eb="31">
      <t>ヨ</t>
    </rPh>
    <rPh sb="33" eb="34">
      <t>カンガ</t>
    </rPh>
    <phoneticPr fontId="1"/>
  </si>
  <si>
    <t>Lenovo IdeaPad Flex 570</t>
  </si>
  <si>
    <t>Lenovo IdeaPad Flex 570</t>
    <phoneticPr fontId="1"/>
  </si>
  <si>
    <t>MODE4</t>
    <phoneticPr fontId="1"/>
  </si>
  <si>
    <t>通常は4つのアプリに分けますが、管理面と以後の更新を考慮して設定で切り替えるようにします</t>
    <rPh sb="0" eb="2">
      <t>ツウジョウ</t>
    </rPh>
    <rPh sb="10" eb="11">
      <t>ワ</t>
    </rPh>
    <rPh sb="16" eb="19">
      <t>カンリメン</t>
    </rPh>
    <rPh sb="20" eb="22">
      <t>イゴ</t>
    </rPh>
    <rPh sb="23" eb="25">
      <t>コウシン</t>
    </rPh>
    <rPh sb="26" eb="28">
      <t>コウリョ</t>
    </rPh>
    <rPh sb="30" eb="32">
      <t>セッテイ</t>
    </rPh>
    <rPh sb="33" eb="34">
      <t>キ</t>
    </rPh>
    <rPh sb="35" eb="36">
      <t>カ</t>
    </rPh>
    <phoneticPr fontId="1"/>
  </si>
  <si>
    <t>https://www.mitutoyo.co.jp/public/cms-assets/downloads/catalog/data-management/pdf/12051.pdf</t>
  </si>
  <si>
    <t>下記の通り、お見積り申し上げます</t>
    <rPh sb="0" eb="2">
      <t>カキ</t>
    </rPh>
    <rPh sb="3" eb="4">
      <t>トオ</t>
    </rPh>
    <rPh sb="7" eb="9">
      <t>ミツモ</t>
    </rPh>
    <rPh sb="10" eb="11">
      <t>モウ</t>
    </rPh>
    <rPh sb="12" eb="13">
      <t>ア</t>
    </rPh>
    <phoneticPr fontId="1"/>
  </si>
  <si>
    <t>〒771-1202 徳島県板野郡藍住町奥野和田135-35</t>
    <rPh sb="10" eb="12">
      <t>トクシマ</t>
    </rPh>
    <rPh sb="12" eb="13">
      <t>ケン</t>
    </rPh>
    <rPh sb="13" eb="16">
      <t>イタノグン</t>
    </rPh>
    <rPh sb="16" eb="18">
      <t>アイズミ</t>
    </rPh>
    <rPh sb="18" eb="19">
      <t>チョウ</t>
    </rPh>
    <rPh sb="19" eb="21">
      <t>オクノ</t>
    </rPh>
    <rPh sb="21" eb="23">
      <t>ワダ</t>
    </rPh>
    <phoneticPr fontId="1"/>
  </si>
  <si>
    <t>案件名</t>
    <rPh sb="0" eb="3">
      <t>アンケンメイ</t>
    </rPh>
    <phoneticPr fontId="1"/>
  </si>
  <si>
    <t>teppy422@au.com</t>
    <phoneticPr fontId="1"/>
  </si>
  <si>
    <t>片岡哲兵</t>
    <rPh sb="0" eb="2">
      <t>カタオカ</t>
    </rPh>
    <rPh sb="2" eb="4">
      <t>テツヘイ</t>
    </rPh>
    <phoneticPr fontId="1"/>
  </si>
  <si>
    <t>お見積金額(税込)</t>
    <rPh sb="1" eb="3">
      <t>ミツモ</t>
    </rPh>
    <rPh sb="3" eb="5">
      <t>キンガク</t>
    </rPh>
    <rPh sb="6" eb="8">
      <t>ゼイコ</t>
    </rPh>
    <phoneticPr fontId="1"/>
  </si>
  <si>
    <t>対応者様</t>
    <rPh sb="0" eb="2">
      <t>タイオウ</t>
    </rPh>
    <rPh sb="2" eb="3">
      <t>シャ</t>
    </rPh>
    <rPh sb="3" eb="4">
      <t>サマ</t>
    </rPh>
    <phoneticPr fontId="1"/>
  </si>
  <si>
    <t>内容・仕様</t>
    <rPh sb="0" eb="2">
      <t>ナイヨウ</t>
    </rPh>
    <rPh sb="3" eb="5">
      <t>シヨウ</t>
    </rPh>
    <phoneticPr fontId="1"/>
  </si>
  <si>
    <t>単位</t>
    <rPh sb="0" eb="2">
      <t>タンイ</t>
    </rPh>
    <phoneticPr fontId="1"/>
  </si>
  <si>
    <t>備考</t>
    <rPh sb="0" eb="2">
      <t>ビコウ</t>
    </rPh>
    <phoneticPr fontId="1"/>
  </si>
  <si>
    <t>件</t>
    <phoneticPr fontId="1"/>
  </si>
  <si>
    <t>台</t>
    <rPh sb="0" eb="1">
      <t>ダイ</t>
    </rPh>
    <phoneticPr fontId="1"/>
  </si>
  <si>
    <t>小計</t>
    <rPh sb="0" eb="2">
      <t>ショウケイ</t>
    </rPh>
    <phoneticPr fontId="1"/>
  </si>
  <si>
    <t>消費税</t>
    <rPh sb="0" eb="3">
      <t>ショウヒゼイ</t>
    </rPh>
    <phoneticPr fontId="1"/>
  </si>
  <si>
    <t>総合計</t>
    <rPh sb="0" eb="3">
      <t>ソウゴウケイ</t>
    </rPh>
    <phoneticPr fontId="1"/>
  </si>
  <si>
    <t>請求額が見積額を超える事はありません</t>
    <rPh sb="0" eb="3">
      <t>セイキュウガク</t>
    </rPh>
    <rPh sb="4" eb="7">
      <t>ミツモリガク</t>
    </rPh>
    <rPh sb="8" eb="9">
      <t>コ</t>
    </rPh>
    <rPh sb="11" eb="12">
      <t>コト</t>
    </rPh>
    <phoneticPr fontId="1"/>
  </si>
  <si>
    <t>不明な点は、お手数ですがお問い合わせ願います</t>
    <rPh sb="0" eb="2">
      <t>フメイ</t>
    </rPh>
    <rPh sb="3" eb="4">
      <t>テン</t>
    </rPh>
    <rPh sb="7" eb="9">
      <t>テスウ</t>
    </rPh>
    <rPh sb="13" eb="14">
      <t>ト</t>
    </rPh>
    <rPh sb="15" eb="16">
      <t>ア</t>
    </rPh>
    <rPh sb="18" eb="19">
      <t>ネガ</t>
    </rPh>
    <phoneticPr fontId="1"/>
  </si>
  <si>
    <t>#0019</t>
    <phoneticPr fontId="1"/>
  </si>
  <si>
    <t>有限会社 ウエダ様 御中</t>
    <rPh sb="0" eb="2">
      <t>ユウゲン</t>
    </rPh>
    <rPh sb="2" eb="4">
      <t>カイシャ</t>
    </rPh>
    <rPh sb="8" eb="9">
      <t>サマ</t>
    </rPh>
    <rPh sb="10" eb="12">
      <t>オンチュウ</t>
    </rPh>
    <phoneticPr fontId="1"/>
  </si>
  <si>
    <t>ワイヤーハーネス切断工程の生産性向上</t>
    <rPh sb="8" eb="10">
      <t>セツダン</t>
    </rPh>
    <rPh sb="10" eb="12">
      <t>コウテイ</t>
    </rPh>
    <rPh sb="13" eb="16">
      <t>セイサンセイ</t>
    </rPh>
    <rPh sb="16" eb="18">
      <t>コウジョウ</t>
    </rPh>
    <phoneticPr fontId="1"/>
  </si>
  <si>
    <t>通常は複数のアプリに分けますが上記と同じ理由で一つにまとめます</t>
    <rPh sb="0" eb="2">
      <t>ツウジョウ</t>
    </rPh>
    <rPh sb="3" eb="5">
      <t>フクスウ</t>
    </rPh>
    <rPh sb="10" eb="11">
      <t>ワ</t>
    </rPh>
    <rPh sb="15" eb="17">
      <t>ジョウキ</t>
    </rPh>
    <rPh sb="18" eb="19">
      <t>オナ</t>
    </rPh>
    <rPh sb="20" eb="22">
      <t>リユウ</t>
    </rPh>
    <rPh sb="23" eb="24">
      <t>ヒト</t>
    </rPh>
    <phoneticPr fontId="1"/>
  </si>
  <si>
    <t>※作成する上で都合により分ける可能性があります</t>
    <rPh sb="1" eb="3">
      <t>サクセイ</t>
    </rPh>
    <rPh sb="5" eb="6">
      <t>ウエ</t>
    </rPh>
    <rPh sb="7" eb="9">
      <t>ツゴウ</t>
    </rPh>
    <rPh sb="12" eb="13">
      <t>ワ</t>
    </rPh>
    <rPh sb="15" eb="18">
      <t>カノウセイ</t>
    </rPh>
    <phoneticPr fontId="1"/>
  </si>
  <si>
    <t>件</t>
    <rPh sb="0" eb="1">
      <t>ケン</t>
    </rPh>
    <phoneticPr fontId="1"/>
  </si>
  <si>
    <t>金額は全て税込み</t>
    <rPh sb="0" eb="2">
      <t>キンガク</t>
    </rPh>
    <rPh sb="3" eb="4">
      <t>スベ</t>
    </rPh>
    <rPh sb="5" eb="7">
      <t>ゼイコ</t>
    </rPh>
    <phoneticPr fontId="1"/>
  </si>
  <si>
    <t>　　　　各種データをサーバーに登録機能</t>
    <rPh sb="4" eb="6">
      <t>カクシュ</t>
    </rPh>
    <rPh sb="15" eb="17">
      <t>トウロク</t>
    </rPh>
    <rPh sb="17" eb="19">
      <t>キノウ</t>
    </rPh>
    <phoneticPr fontId="1"/>
  </si>
  <si>
    <t>　　　　シールド電線の端末条件登録機能</t>
    <rPh sb="8" eb="10">
      <t>デンセン</t>
    </rPh>
    <rPh sb="11" eb="13">
      <t>タンマツ</t>
    </rPh>
    <rPh sb="13" eb="15">
      <t>ジョウケン</t>
    </rPh>
    <rPh sb="15" eb="17">
      <t>トウロク</t>
    </rPh>
    <rPh sb="17" eb="19">
      <t>キノウ</t>
    </rPh>
    <phoneticPr fontId="1"/>
  </si>
  <si>
    <t>納入場所:   有限会社 ウエダ様 工場内</t>
    <rPh sb="0" eb="2">
      <t>ノウニュウ</t>
    </rPh>
    <rPh sb="2" eb="4">
      <t>バショ</t>
    </rPh>
    <rPh sb="8" eb="12">
      <t>ユウゲンガイシャ</t>
    </rPh>
    <rPh sb="16" eb="17">
      <t>サマ</t>
    </rPh>
    <rPh sb="18" eb="21">
      <t>コウジョウナイ</t>
    </rPh>
    <rPh sb="20" eb="21">
      <t>ナイ</t>
    </rPh>
    <phoneticPr fontId="1"/>
  </si>
  <si>
    <t>上田勝大様</t>
    <rPh sb="0" eb="2">
      <t>ウエダ</t>
    </rPh>
    <rPh sb="2" eb="3">
      <t>カツ</t>
    </rPh>
    <rPh sb="3" eb="4">
      <t>ダイ</t>
    </rPh>
    <rPh sb="4" eb="5">
      <t>サマ</t>
    </rPh>
    <phoneticPr fontId="1"/>
  </si>
  <si>
    <t>　　　手入力を廃止する為にマイクロメーター情報の入力等</t>
    <rPh sb="3" eb="6">
      <t>テニュウリョク</t>
    </rPh>
    <rPh sb="7" eb="9">
      <t>ハイシ</t>
    </rPh>
    <rPh sb="11" eb="12">
      <t>タメ</t>
    </rPh>
    <rPh sb="21" eb="23">
      <t>ジョウホウ</t>
    </rPh>
    <rPh sb="24" eb="26">
      <t>ニュウリョク</t>
    </rPh>
    <rPh sb="26" eb="27">
      <t>ナド</t>
    </rPh>
    <phoneticPr fontId="1"/>
  </si>
  <si>
    <t>　　　シールド切断機への切断条件送信</t>
    <rPh sb="7" eb="10">
      <t>セツダンキ</t>
    </rPh>
    <rPh sb="12" eb="14">
      <t>セツダン</t>
    </rPh>
    <rPh sb="14" eb="16">
      <t>ジョウケン</t>
    </rPh>
    <rPh sb="16" eb="18">
      <t>ソウシン</t>
    </rPh>
    <phoneticPr fontId="1"/>
  </si>
  <si>
    <t>　　　準完チェック機能</t>
    <rPh sb="3" eb="4">
      <t>ジュン</t>
    </rPh>
    <rPh sb="4" eb="5">
      <t>カン</t>
    </rPh>
    <rPh sb="9" eb="11">
      <t>キノウ</t>
    </rPh>
    <phoneticPr fontId="1"/>
  </si>
  <si>
    <t>　　　1:と2:の各MODE毎に初回の1台はこちらで対応します</t>
    <rPh sb="9" eb="10">
      <t>カク</t>
    </rPh>
    <rPh sb="14" eb="15">
      <t>ゴト</t>
    </rPh>
    <rPh sb="16" eb="18">
      <t>ショカイ</t>
    </rPh>
    <rPh sb="20" eb="21">
      <t>ダイ</t>
    </rPh>
    <rPh sb="26" eb="28">
      <t>タイオウ</t>
    </rPh>
    <phoneticPr fontId="1"/>
  </si>
  <si>
    <t>AIMEX</t>
  </si>
  <si>
    <t>AIMEX</t>
    <phoneticPr fontId="1"/>
  </si>
  <si>
    <t>QRリーダー</t>
  </si>
  <si>
    <t>部品合計</t>
    <rPh sb="0" eb="2">
      <t>ブヒン</t>
    </rPh>
    <rPh sb="2" eb="4">
      <t>ゴウケイ</t>
    </rPh>
    <phoneticPr fontId="1"/>
  </si>
  <si>
    <t>合計</t>
    <rPh sb="0" eb="2">
      <t>ゴウケイ</t>
    </rPh>
    <phoneticPr fontId="1"/>
  </si>
  <si>
    <t>　　　上記でデータ保存するNASのセットアップ</t>
    <rPh sb="3" eb="5">
      <t>ジョウキ</t>
    </rPh>
    <rPh sb="9" eb="11">
      <t>ホゾン</t>
    </rPh>
    <phoneticPr fontId="1"/>
  </si>
  <si>
    <t>上記にセットアップ手順書を添えて納品します</t>
    <rPh sb="0" eb="2">
      <t>ジョウキ</t>
    </rPh>
    <rPh sb="9" eb="12">
      <t>テジュンショ</t>
    </rPh>
    <rPh sb="13" eb="14">
      <t>ソ</t>
    </rPh>
    <rPh sb="16" eb="18">
      <t>ノウヒン</t>
    </rPh>
    <phoneticPr fontId="1"/>
  </si>
  <si>
    <t>皮むきは5-&gt;0台</t>
    <rPh sb="0" eb="1">
      <t>カワ</t>
    </rPh>
    <rPh sb="8" eb="9">
      <t>ダイ</t>
    </rPh>
    <phoneticPr fontId="1"/>
  </si>
  <si>
    <t>IT-020U</t>
    <phoneticPr fontId="1"/>
  </si>
  <si>
    <t>切断は3-&gt;0台</t>
    <rPh sb="0" eb="2">
      <t>セツダン</t>
    </rPh>
    <rPh sb="7" eb="8">
      <t>ダイ</t>
    </rPh>
    <phoneticPr fontId="1"/>
  </si>
  <si>
    <t>MODE1(手圧着)</t>
    <rPh sb="6" eb="9">
      <t>テアッチャク</t>
    </rPh>
    <phoneticPr fontId="1"/>
  </si>
  <si>
    <t>MODE2(皮むき)</t>
    <rPh sb="6" eb="7">
      <t>カワ</t>
    </rPh>
    <phoneticPr fontId="1"/>
  </si>
  <si>
    <t>MODE3(シールド切断)</t>
    <rPh sb="10" eb="12">
      <t>セツダン</t>
    </rPh>
    <phoneticPr fontId="1"/>
  </si>
  <si>
    <t>MODE4(準完チェック)</t>
    <rPh sb="6" eb="7">
      <t>ジュン</t>
    </rPh>
    <rPh sb="7" eb="8">
      <t>カン</t>
    </rPh>
    <phoneticPr fontId="1"/>
  </si>
  <si>
    <t>基本モジュール</t>
    <rPh sb="0" eb="2">
      <t>キホン</t>
    </rPh>
    <phoneticPr fontId="1"/>
  </si>
  <si>
    <t>実施</t>
    <rPh sb="0" eb="2">
      <t>ジッシ</t>
    </rPh>
    <phoneticPr fontId="1"/>
  </si>
  <si>
    <t>対象</t>
    <rPh sb="0" eb="2">
      <t>タイショウ</t>
    </rPh>
    <phoneticPr fontId="1"/>
  </si>
  <si>
    <t>LANコネクタCAT6A</t>
    <phoneticPr fontId="1"/>
  </si>
  <si>
    <t>個</t>
    <rPh sb="0" eb="1">
      <t>コ</t>
    </rPh>
    <phoneticPr fontId="1"/>
  </si>
  <si>
    <t>見積書</t>
    <rPh sb="0" eb="3">
      <t>ミツモリショ</t>
    </rPh>
    <phoneticPr fontId="1"/>
  </si>
  <si>
    <t>新規開発</t>
    <rPh sb="0" eb="2">
      <t>シンキ</t>
    </rPh>
    <rPh sb="2" eb="4">
      <t>カイハツ</t>
    </rPh>
    <phoneticPr fontId="1"/>
  </si>
  <si>
    <t>WXR-11000XE12</t>
    <phoneticPr fontId="1"/>
  </si>
  <si>
    <t>100m</t>
    <phoneticPr fontId="1"/>
  </si>
  <si>
    <t>DS923+HDD4台付</t>
    <rPh sb="10" eb="11">
      <t>ダイ</t>
    </rPh>
    <rPh sb="11" eb="12">
      <t>ツキ</t>
    </rPh>
    <phoneticPr fontId="1"/>
  </si>
  <si>
    <t>ジョイントは2-&gt;0台、圧着は8-&gt;6台</t>
    <rPh sb="10" eb="11">
      <t>ダイ</t>
    </rPh>
    <rPh sb="12" eb="14">
      <t>アッチャク</t>
    </rPh>
    <rPh sb="19" eb="20">
      <t>ダイ</t>
    </rPh>
    <phoneticPr fontId="1"/>
  </si>
  <si>
    <t>KB-T6A-CB100W</t>
    <phoneticPr fontId="1"/>
  </si>
  <si>
    <t>LAN-TLKIT3</t>
    <phoneticPr fontId="1"/>
  </si>
  <si>
    <t>ADT-6ARJKNH-100</t>
    <phoneticPr fontId="1"/>
  </si>
  <si>
    <t>変更後</t>
    <rPh sb="0" eb="2">
      <t>ヘンコウ</t>
    </rPh>
    <rPh sb="2" eb="3">
      <t>ゴ</t>
    </rPh>
    <phoneticPr fontId="1"/>
  </si>
  <si>
    <t>1_QRに対応したかんばん印刷</t>
    <rPh sb="5" eb="7">
      <t>タイオウ</t>
    </rPh>
    <rPh sb="13" eb="15">
      <t>インサツ</t>
    </rPh>
    <phoneticPr fontId="1"/>
  </si>
  <si>
    <t>2_QRリーダーで各種データをサーバーから取得</t>
    <rPh sb="9" eb="11">
      <t>カクシュ</t>
    </rPh>
    <rPh sb="21" eb="23">
      <t>シュトク</t>
    </rPh>
    <phoneticPr fontId="1"/>
  </si>
  <si>
    <t>3_PCセットアップと設置/配線</t>
    <rPh sb="11" eb="13">
      <t>セッチ</t>
    </rPh>
    <rPh sb="14" eb="16">
      <t>ハイセン</t>
    </rPh>
    <phoneticPr fontId="1"/>
  </si>
  <si>
    <t>開発</t>
    <rPh sb="0" eb="2">
      <t>カイハツ</t>
    </rPh>
    <phoneticPr fontId="1"/>
  </si>
  <si>
    <t>実績入力</t>
    <rPh sb="0" eb="2">
      <t>ジッセキ</t>
    </rPh>
    <rPh sb="2" eb="4">
      <t>ニュウリョク</t>
    </rPh>
    <phoneticPr fontId="1"/>
  </si>
  <si>
    <t>WEB</t>
    <phoneticPr fontId="1"/>
  </si>
  <si>
    <t>セットアップ手順ページ 他</t>
    <rPh sb="6" eb="8">
      <t>テジュン</t>
    </rPh>
    <rPh sb="12" eb="13">
      <t>ホカ</t>
    </rPh>
    <phoneticPr fontId="1"/>
  </si>
  <si>
    <t>└かんばん生産の進捗状況の把握による効率化(残業予定の把握など）</t>
    <rPh sb="5" eb="7">
      <t>セイサン</t>
    </rPh>
    <rPh sb="8" eb="12">
      <t>シンチョクジョウキョウ</t>
    </rPh>
    <rPh sb="13" eb="15">
      <t>ハアク</t>
    </rPh>
    <rPh sb="18" eb="21">
      <t>コウリツカ</t>
    </rPh>
    <rPh sb="22" eb="24">
      <t>ザンギョウ</t>
    </rPh>
    <rPh sb="24" eb="26">
      <t>ヨテイ</t>
    </rPh>
    <rPh sb="27" eb="29">
      <t>ハアク</t>
    </rPh>
    <phoneticPr fontId="1"/>
  </si>
  <si>
    <t>└各MODE初回1台目のセットアップは当方で行います</t>
    <rPh sb="1" eb="2">
      <t>カク</t>
    </rPh>
    <rPh sb="6" eb="8">
      <t>ショカイ</t>
    </rPh>
    <rPh sb="9" eb="11">
      <t>ダイメ</t>
    </rPh>
    <rPh sb="19" eb="21">
      <t>トウホウ</t>
    </rPh>
    <rPh sb="22" eb="23">
      <t>オコナ</t>
    </rPh>
    <phoneticPr fontId="1"/>
  </si>
  <si>
    <t>但しACCESSだとフリーズ等の不具合が稀(約1回/年)に発生します</t>
    <rPh sb="0" eb="1">
      <t>タダ</t>
    </rPh>
    <rPh sb="14" eb="15">
      <t>ナド</t>
    </rPh>
    <rPh sb="16" eb="19">
      <t>フグアイ</t>
    </rPh>
    <rPh sb="20" eb="21">
      <t>マレ</t>
    </rPh>
    <rPh sb="22" eb="23">
      <t>ヤク</t>
    </rPh>
    <rPh sb="24" eb="25">
      <t>カイ</t>
    </rPh>
    <rPh sb="26" eb="27">
      <t>ネン</t>
    </rPh>
    <rPh sb="29" eb="31">
      <t>ハッセイ</t>
    </rPh>
    <phoneticPr fontId="1"/>
  </si>
  <si>
    <t>　　　維持管理出来るようにPCセットアップ手順書を掲載</t>
    <rPh sb="3" eb="5">
      <t>イジ</t>
    </rPh>
    <rPh sb="5" eb="7">
      <t>カンリ</t>
    </rPh>
    <rPh sb="7" eb="9">
      <t>デキ</t>
    </rPh>
    <rPh sb="21" eb="24">
      <t>テジュンショ</t>
    </rPh>
    <rPh sb="25" eb="27">
      <t>ケイサイ</t>
    </rPh>
    <phoneticPr fontId="1"/>
  </si>
  <si>
    <t>　　　収集した実績データを参照</t>
    <rPh sb="3" eb="5">
      <t>シュウシュウ</t>
    </rPh>
    <rPh sb="7" eb="9">
      <t>ジッセキ</t>
    </rPh>
    <rPh sb="13" eb="15">
      <t>サンショウ</t>
    </rPh>
    <phoneticPr fontId="1"/>
  </si>
  <si>
    <t>WEBサーバー</t>
    <phoneticPr fontId="1"/>
  </si>
  <si>
    <t>-</t>
    <phoneticPr fontId="1"/>
  </si>
  <si>
    <t>NASをWEBサーバー化</t>
    <rPh sb="11" eb="12">
      <t>カ</t>
    </rPh>
    <phoneticPr fontId="1"/>
  </si>
  <si>
    <t>設備の設置場所(レイアウト)</t>
    <rPh sb="0" eb="2">
      <t>セツビ</t>
    </rPh>
    <rPh sb="3" eb="7">
      <t>セッチバショ</t>
    </rPh>
    <phoneticPr fontId="1"/>
  </si>
  <si>
    <t>4_NASのセットアップ</t>
    <phoneticPr fontId="1"/>
  </si>
  <si>
    <t>5_NASのWEBサーバー化とWEBサイトの構築</t>
    <rPh sb="13" eb="14">
      <t>カ</t>
    </rPh>
    <rPh sb="22" eb="24">
      <t>コウチク</t>
    </rPh>
    <phoneticPr fontId="1"/>
  </si>
  <si>
    <t>要件定義書</t>
    <rPh sb="0" eb="2">
      <t>ヨウケン</t>
    </rPh>
    <rPh sb="2" eb="5">
      <t>テイギショ</t>
    </rPh>
    <phoneticPr fontId="1"/>
  </si>
  <si>
    <t>目的</t>
    <rPh sb="0" eb="2">
      <t>モクテキ</t>
    </rPh>
    <phoneticPr fontId="1"/>
  </si>
  <si>
    <t>本ドキュメントはワイヤーハーネスの手圧着/切断作業に於いて、
生産性を向上させるシステム開発に関する要件定義書になります。</t>
    <rPh sb="17" eb="20">
      <t>テアッチャク</t>
    </rPh>
    <rPh sb="21" eb="23">
      <t>セツダン</t>
    </rPh>
    <rPh sb="23" eb="25">
      <t>サギョウ</t>
    </rPh>
    <rPh sb="26" eb="27">
      <t>オ</t>
    </rPh>
    <rPh sb="31" eb="33">
      <t>セイサン</t>
    </rPh>
    <rPh sb="33" eb="34">
      <t>セイ</t>
    </rPh>
    <rPh sb="35" eb="37">
      <t>コウジョウ</t>
    </rPh>
    <phoneticPr fontId="1"/>
  </si>
  <si>
    <t>1. プロジェクト概要</t>
  </si>
  <si>
    <t>1.1 プロジェクト名</t>
  </si>
  <si>
    <t>1.2 背景</t>
  </si>
  <si>
    <t>1.3 目的</t>
  </si>
  <si>
    <t>2. プロジェクト範囲</t>
  </si>
  <si>
    <t>2.1 対象範囲</t>
  </si>
  <si>
    <t>3. 機能要件</t>
  </si>
  <si>
    <t>3.3 操作インターフェース</t>
  </si>
  <si>
    <t>4. 非機能要件</t>
  </si>
  <si>
    <t>4.1 パフォーマンス</t>
  </si>
  <si>
    <t>4.2 信頼性</t>
  </si>
  <si>
    <t>4.3 セキュリティ</t>
  </si>
  <si>
    <t>現在の工程では、以下の問題点があります</t>
    <rPh sb="8" eb="10">
      <t>イカ</t>
    </rPh>
    <rPh sb="11" eb="14">
      <t>モンダイテン</t>
    </rPh>
    <phoneticPr fontId="1"/>
  </si>
  <si>
    <t>└不良品の発生に伴う選別(回収)/材料ロス/再生産による生産性の低下</t>
    <rPh sb="1" eb="4">
      <t>フリョウヒン</t>
    </rPh>
    <rPh sb="5" eb="7">
      <t>ハッセイ</t>
    </rPh>
    <rPh sb="8" eb="9">
      <t>トモナ</t>
    </rPh>
    <rPh sb="10" eb="12">
      <t>センベツ</t>
    </rPh>
    <rPh sb="13" eb="15">
      <t>カイシュウ</t>
    </rPh>
    <rPh sb="17" eb="19">
      <t>ザイリョウ</t>
    </rPh>
    <rPh sb="22" eb="23">
      <t>サイ</t>
    </rPh>
    <rPh sb="23" eb="25">
      <t>セイサン</t>
    </rPh>
    <rPh sb="28" eb="31">
      <t>セイサンセイ</t>
    </rPh>
    <rPh sb="32" eb="34">
      <t>テイカ</t>
    </rPh>
    <phoneticPr fontId="1"/>
  </si>
  <si>
    <t>・切断：機械に対し切断条件を手入力する事による時間ロス/入力ミスによる不良品の発生</t>
    <rPh sb="1" eb="3">
      <t>セツダン</t>
    </rPh>
    <rPh sb="4" eb="6">
      <t>キカイ</t>
    </rPh>
    <rPh sb="7" eb="8">
      <t>タイ</t>
    </rPh>
    <rPh sb="9" eb="11">
      <t>セツダン</t>
    </rPh>
    <rPh sb="11" eb="13">
      <t>ジョウケン</t>
    </rPh>
    <rPh sb="14" eb="17">
      <t>テニュウリョク</t>
    </rPh>
    <rPh sb="19" eb="20">
      <t>コト</t>
    </rPh>
    <rPh sb="23" eb="25">
      <t>ジカン</t>
    </rPh>
    <rPh sb="28" eb="30">
      <t>ニュウリョク</t>
    </rPh>
    <rPh sb="35" eb="38">
      <t>フリョウヒン</t>
    </rPh>
    <rPh sb="39" eb="41">
      <t>ハッセイ</t>
    </rPh>
    <phoneticPr fontId="1"/>
  </si>
  <si>
    <t>ワイヤーハーネスの切断/手圧着/納品チェック工程に於ける 新規システム開発</t>
    <rPh sb="9" eb="11">
      <t>セツダン</t>
    </rPh>
    <rPh sb="12" eb="15">
      <t>テアッチャク</t>
    </rPh>
    <rPh sb="16" eb="18">
      <t>ノウヒン</t>
    </rPh>
    <rPh sb="22" eb="24">
      <t>コウテイ</t>
    </rPh>
    <rPh sb="25" eb="26">
      <t>オ</t>
    </rPh>
    <phoneticPr fontId="1"/>
  </si>
  <si>
    <t>・手圧着：作業規格(紙)を探す手間による生産性の低下</t>
    <rPh sb="1" eb="4">
      <t>テアッチャク</t>
    </rPh>
    <rPh sb="5" eb="7">
      <t>サギョウ</t>
    </rPh>
    <rPh sb="7" eb="9">
      <t>キカク</t>
    </rPh>
    <rPh sb="10" eb="11">
      <t>カミ</t>
    </rPh>
    <rPh sb="13" eb="14">
      <t>サガ</t>
    </rPh>
    <rPh sb="15" eb="17">
      <t>テマ</t>
    </rPh>
    <rPh sb="20" eb="22">
      <t>セイサン</t>
    </rPh>
    <rPh sb="22" eb="23">
      <t>セイ</t>
    </rPh>
    <rPh sb="24" eb="26">
      <t>テイカ</t>
    </rPh>
    <phoneticPr fontId="1"/>
  </si>
  <si>
    <t>作業実績（作業条件/検査規格値)を手書きする事による生産性の低下</t>
    <rPh sb="0" eb="4">
      <t>サギョウジッセキ</t>
    </rPh>
    <rPh sb="5" eb="9">
      <t>サギョウジョウケン</t>
    </rPh>
    <rPh sb="10" eb="12">
      <t>ケンサ</t>
    </rPh>
    <rPh sb="12" eb="15">
      <t>キカクチ</t>
    </rPh>
    <rPh sb="17" eb="19">
      <t>テガ</t>
    </rPh>
    <rPh sb="22" eb="23">
      <t>コト</t>
    </rPh>
    <rPh sb="26" eb="28">
      <t>セイサン</t>
    </rPh>
    <rPh sb="28" eb="29">
      <t>セイ</t>
    </rPh>
    <rPh sb="30" eb="32">
      <t>テイカ</t>
    </rPh>
    <phoneticPr fontId="1"/>
  </si>
  <si>
    <t>規格値を合わせる為のダイヤルの設定値をメモ書きから探す事による生産性の低下</t>
    <rPh sb="0" eb="3">
      <t>キカクチ</t>
    </rPh>
    <rPh sb="4" eb="5">
      <t>ア</t>
    </rPh>
    <rPh sb="8" eb="9">
      <t>タメ</t>
    </rPh>
    <rPh sb="15" eb="18">
      <t>セッテイチ</t>
    </rPh>
    <rPh sb="21" eb="22">
      <t>ガ</t>
    </rPh>
    <rPh sb="25" eb="26">
      <t>サガ</t>
    </rPh>
    <rPh sb="27" eb="28">
      <t>コト</t>
    </rPh>
    <rPh sb="31" eb="33">
      <t>セイサン</t>
    </rPh>
    <rPh sb="33" eb="34">
      <t>セイ</t>
    </rPh>
    <rPh sb="35" eb="37">
      <t>テイカ</t>
    </rPh>
    <phoneticPr fontId="1"/>
  </si>
  <si>
    <t>・納品チェック：納品指示一覧表から該当する条件を探す事による生産性の低下</t>
    <rPh sb="1" eb="3">
      <t>ノウヒン</t>
    </rPh>
    <rPh sb="8" eb="10">
      <t>ノウヒン</t>
    </rPh>
    <rPh sb="10" eb="12">
      <t>シジ</t>
    </rPh>
    <rPh sb="12" eb="15">
      <t>イチランヒョウ</t>
    </rPh>
    <rPh sb="17" eb="19">
      <t>ガイトウ</t>
    </rPh>
    <rPh sb="21" eb="23">
      <t>ジョウケン</t>
    </rPh>
    <rPh sb="24" eb="25">
      <t>サガ</t>
    </rPh>
    <rPh sb="26" eb="27">
      <t>コト</t>
    </rPh>
    <rPh sb="30" eb="32">
      <t>セイサン</t>
    </rPh>
    <rPh sb="32" eb="33">
      <t>セイ</t>
    </rPh>
    <rPh sb="34" eb="36">
      <t>テイカ</t>
    </rPh>
    <phoneticPr fontId="1"/>
  </si>
  <si>
    <t>作業実績を手書きする事による生産性の低下</t>
    <rPh sb="0" eb="2">
      <t>サギョウ</t>
    </rPh>
    <rPh sb="2" eb="4">
      <t>ジッセキ</t>
    </rPh>
    <rPh sb="5" eb="7">
      <t>テガ</t>
    </rPh>
    <rPh sb="10" eb="11">
      <t>コト</t>
    </rPh>
    <rPh sb="14" eb="16">
      <t>セイサン</t>
    </rPh>
    <rPh sb="16" eb="17">
      <t>セイ</t>
    </rPh>
    <rPh sb="18" eb="20">
      <t>テイカ</t>
    </rPh>
    <phoneticPr fontId="1"/>
  </si>
  <si>
    <t>納品チェックミスによる再配達による生産性の低下</t>
    <rPh sb="0" eb="2">
      <t>ノウヒン</t>
    </rPh>
    <rPh sb="11" eb="12">
      <t>サイ</t>
    </rPh>
    <rPh sb="12" eb="14">
      <t>ハイタツ</t>
    </rPh>
    <rPh sb="17" eb="20">
      <t>セイサンセイ</t>
    </rPh>
    <rPh sb="21" eb="23">
      <t>テイカ</t>
    </rPh>
    <phoneticPr fontId="1"/>
  </si>
  <si>
    <t>上記のムダな時間を削減するシステムの開発</t>
    <rPh sb="0" eb="2">
      <t>ジョウキ</t>
    </rPh>
    <rPh sb="6" eb="8">
      <t>ジカン</t>
    </rPh>
    <rPh sb="9" eb="11">
      <t>サクゲン</t>
    </rPh>
    <rPh sb="18" eb="20">
      <t>カイハツ</t>
    </rPh>
    <phoneticPr fontId="1"/>
  </si>
  <si>
    <t>手圧着工程</t>
    <phoneticPr fontId="1"/>
  </si>
  <si>
    <t>切断工程</t>
    <phoneticPr fontId="1"/>
  </si>
  <si>
    <t>納品チェック工程</t>
    <rPh sb="0" eb="2">
      <t>ノウヒン</t>
    </rPh>
    <rPh sb="6" eb="8">
      <t>コウテイ</t>
    </rPh>
    <phoneticPr fontId="1"/>
  </si>
  <si>
    <t>3.1 切断機能</t>
    <phoneticPr fontId="1"/>
  </si>
  <si>
    <t>3.2 手圧着機能</t>
    <phoneticPr fontId="1"/>
  </si>
  <si>
    <t>上記工程に対応した「かんばん」の印刷</t>
    <rPh sb="0" eb="2">
      <t>ジョウキ</t>
    </rPh>
    <rPh sb="2" eb="4">
      <t>コウテイ</t>
    </rPh>
    <rPh sb="5" eb="7">
      <t>タイオウ</t>
    </rPh>
    <rPh sb="16" eb="18">
      <t>インサツ</t>
    </rPh>
    <phoneticPr fontId="1"/>
  </si>
  <si>
    <t>タッチパネルによる直感的な操作</t>
    <rPh sb="9" eb="12">
      <t>チョッカンテキ</t>
    </rPh>
    <phoneticPr fontId="1"/>
  </si>
  <si>
    <t>ワイヤレスQRリーダーによる離れた場所での入力に対応</t>
    <rPh sb="14" eb="15">
      <t>ハナ</t>
    </rPh>
    <rPh sb="17" eb="19">
      <t>バショ</t>
    </rPh>
    <rPh sb="21" eb="23">
      <t>ニュウリョク</t>
    </rPh>
    <rPh sb="24" eb="26">
      <t>タイオウ</t>
    </rPh>
    <phoneticPr fontId="1"/>
  </si>
  <si>
    <t>3.4 かんばんの印刷</t>
    <rPh sb="9" eb="11">
      <t>インサツ</t>
    </rPh>
    <phoneticPr fontId="1"/>
  </si>
  <si>
    <t>上記に対応した「かんばん(製造指示)」の印刷機能を新規開発</t>
    <rPh sb="0" eb="2">
      <t>ジョウキ</t>
    </rPh>
    <rPh sb="3" eb="5">
      <t>タイオウ</t>
    </rPh>
    <rPh sb="13" eb="17">
      <t>セイゾウシジ</t>
    </rPh>
    <rPh sb="20" eb="22">
      <t>インサツ</t>
    </rPh>
    <rPh sb="22" eb="24">
      <t>キノウ</t>
    </rPh>
    <rPh sb="25" eb="27">
      <t>シンキ</t>
    </rPh>
    <rPh sb="27" eb="29">
      <t>カイハツ</t>
    </rPh>
    <phoneticPr fontId="1"/>
  </si>
  <si>
    <t>切断条件(切断長、ストリップ系、ストリップ長）を切断機械(9500)に送信する機能の新規開発</t>
    <rPh sb="2" eb="4">
      <t>ジョウケン</t>
    </rPh>
    <rPh sb="5" eb="7">
      <t>セツダン</t>
    </rPh>
    <rPh sb="7" eb="8">
      <t>チョウ</t>
    </rPh>
    <rPh sb="14" eb="15">
      <t>ケイ</t>
    </rPh>
    <rPh sb="21" eb="22">
      <t>ナガ</t>
    </rPh>
    <rPh sb="24" eb="26">
      <t>セツダン</t>
    </rPh>
    <rPh sb="26" eb="28">
      <t>キカイ</t>
    </rPh>
    <rPh sb="35" eb="37">
      <t>ソウシン</t>
    </rPh>
    <rPh sb="39" eb="41">
      <t>キノウ</t>
    </rPh>
    <rPh sb="42" eb="44">
      <t>シンキ</t>
    </rPh>
    <rPh sb="44" eb="46">
      <t>カイハツ</t>
    </rPh>
    <phoneticPr fontId="1"/>
  </si>
  <si>
    <t>手圧着条件の表示、条件の自動入力、規格値ダイヤルの目安表示機能の新規開発</t>
    <rPh sb="0" eb="3">
      <t>テアッチャク</t>
    </rPh>
    <rPh sb="3" eb="5">
      <t>ジョウケン</t>
    </rPh>
    <rPh sb="6" eb="8">
      <t>ヒョウジ</t>
    </rPh>
    <rPh sb="9" eb="11">
      <t>ジョウケン</t>
    </rPh>
    <rPh sb="12" eb="16">
      <t>ジドウニュウリョク</t>
    </rPh>
    <rPh sb="17" eb="20">
      <t>キカクチ</t>
    </rPh>
    <rPh sb="25" eb="27">
      <t>メヤス</t>
    </rPh>
    <rPh sb="27" eb="29">
      <t>ヒョウジ</t>
    </rPh>
    <rPh sb="29" eb="31">
      <t>キノウ</t>
    </rPh>
    <rPh sb="32" eb="34">
      <t>シンキ</t>
    </rPh>
    <rPh sb="34" eb="36">
      <t>カイハツ</t>
    </rPh>
    <phoneticPr fontId="1"/>
  </si>
  <si>
    <t>規格値の規格転送機能(インプットツールを使用)の新規開発</t>
    <rPh sb="0" eb="2">
      <t>キカク</t>
    </rPh>
    <rPh sb="2" eb="3">
      <t>チ</t>
    </rPh>
    <rPh sb="4" eb="6">
      <t>キカク</t>
    </rPh>
    <rPh sb="6" eb="8">
      <t>テンソウ</t>
    </rPh>
    <rPh sb="8" eb="10">
      <t>キノウ</t>
    </rPh>
    <rPh sb="20" eb="22">
      <t>シヨウ</t>
    </rPh>
    <rPh sb="24" eb="26">
      <t>シンキ</t>
    </rPh>
    <rPh sb="26" eb="28">
      <t>カイハツ</t>
    </rPh>
    <phoneticPr fontId="1"/>
  </si>
  <si>
    <t>※既存の製造指示書(取引先による印刷)にも対応する為にQRコードが必要</t>
    <rPh sb="1" eb="3">
      <t>キソン</t>
    </rPh>
    <rPh sb="4" eb="9">
      <t>セイゾウシジショ</t>
    </rPh>
    <rPh sb="10" eb="13">
      <t>トリヒキサキ</t>
    </rPh>
    <rPh sb="16" eb="18">
      <t>インサツ</t>
    </rPh>
    <rPh sb="21" eb="23">
      <t>タイオウ</t>
    </rPh>
    <rPh sb="25" eb="26">
      <t>タメ</t>
    </rPh>
    <rPh sb="33" eb="35">
      <t>ヒツヨウ</t>
    </rPh>
    <phoneticPr fontId="1"/>
  </si>
  <si>
    <t>データ処理は全てNASを経由して行う</t>
    <rPh sb="3" eb="5">
      <t>ショリ</t>
    </rPh>
    <rPh sb="6" eb="7">
      <t>スベ</t>
    </rPh>
    <rPh sb="12" eb="14">
      <t>ケイユ</t>
    </rPh>
    <rPh sb="16" eb="17">
      <t>オコナ</t>
    </rPh>
    <phoneticPr fontId="1"/>
  </si>
  <si>
    <t>NASは相互監視によるシステムを採用する事によりデータ損失を防ぐ</t>
    <rPh sb="4" eb="8">
      <t>ソウゴカンシ</t>
    </rPh>
    <rPh sb="16" eb="18">
      <t>サイヨウ</t>
    </rPh>
    <rPh sb="20" eb="21">
      <t>コト</t>
    </rPh>
    <rPh sb="27" eb="29">
      <t>ソンシツ</t>
    </rPh>
    <rPh sb="30" eb="31">
      <t>フセ</t>
    </rPh>
    <phoneticPr fontId="1"/>
  </si>
  <si>
    <t>生産設備のPCはローカル接続のみに制約</t>
    <rPh sb="0" eb="2">
      <t>セイサン</t>
    </rPh>
    <rPh sb="2" eb="4">
      <t>セツビ</t>
    </rPh>
    <rPh sb="12" eb="14">
      <t>セツゾク</t>
    </rPh>
    <rPh sb="17" eb="19">
      <t>セイヤク</t>
    </rPh>
    <phoneticPr fontId="1"/>
  </si>
  <si>
    <t>NASの外部アクセスを許可しない事でセキュリティの安全性を確保</t>
    <rPh sb="4" eb="6">
      <t>ガイブ</t>
    </rPh>
    <rPh sb="11" eb="13">
      <t>キョカ</t>
    </rPh>
    <rPh sb="16" eb="17">
      <t>コト</t>
    </rPh>
    <rPh sb="25" eb="28">
      <t>アンゼンセイ</t>
    </rPh>
    <rPh sb="29" eb="31">
      <t>カクホ</t>
    </rPh>
    <phoneticPr fontId="1"/>
  </si>
  <si>
    <t>業務フロー</t>
    <rPh sb="0" eb="2">
      <t>ギョウム</t>
    </rPh>
    <phoneticPr fontId="1"/>
  </si>
  <si>
    <t>四国部品㈱徳島工場</t>
    <rPh sb="0" eb="4">
      <t>シコクブヒン</t>
    </rPh>
    <rPh sb="5" eb="9">
      <t>トクシマコウジョウ</t>
    </rPh>
    <phoneticPr fontId="1"/>
  </si>
  <si>
    <t>受注元</t>
    <rPh sb="0" eb="2">
      <t>ジュチュウ</t>
    </rPh>
    <rPh sb="2" eb="3">
      <t>モト</t>
    </rPh>
    <phoneticPr fontId="1"/>
  </si>
  <si>
    <t>作業工程</t>
    <rPh sb="0" eb="4">
      <t>サギョウコウテイ</t>
    </rPh>
    <phoneticPr fontId="1"/>
  </si>
  <si>
    <t>出荷工程</t>
    <rPh sb="0" eb="2">
      <t>シュッカ</t>
    </rPh>
    <rPh sb="2" eb="4">
      <t>コウテイ</t>
    </rPh>
    <phoneticPr fontId="1"/>
  </si>
  <si>
    <t>㈲ウエダ</t>
    <phoneticPr fontId="1"/>
  </si>
  <si>
    <t>事務所PC</t>
    <rPh sb="0" eb="3">
      <t>ジムショ</t>
    </rPh>
    <phoneticPr fontId="1"/>
  </si>
  <si>
    <t>現状の問題点と解決方法</t>
    <rPh sb="0" eb="2">
      <t>ゲンジョウ</t>
    </rPh>
    <rPh sb="3" eb="6">
      <t>モンダイテン</t>
    </rPh>
    <rPh sb="7" eb="9">
      <t>カイケツ</t>
    </rPh>
    <rPh sb="9" eb="11">
      <t>ホウホウ</t>
    </rPh>
    <phoneticPr fontId="1"/>
  </si>
  <si>
    <t>手圧着作業</t>
    <rPh sb="0" eb="3">
      <t>テアッチャク</t>
    </rPh>
    <rPh sb="3" eb="5">
      <t>サギョウ</t>
    </rPh>
    <phoneticPr fontId="1"/>
  </si>
  <si>
    <t>問題点</t>
    <rPh sb="0" eb="3">
      <t>モンダイテン</t>
    </rPh>
    <phoneticPr fontId="1"/>
  </si>
  <si>
    <t>解決方法</t>
    <rPh sb="0" eb="2">
      <t>カイケツ</t>
    </rPh>
    <rPh sb="2" eb="4">
      <t>ホウホウ</t>
    </rPh>
    <phoneticPr fontId="1"/>
  </si>
  <si>
    <t>業務日報に手書き</t>
    <rPh sb="0" eb="2">
      <t>ギョウム</t>
    </rPh>
    <rPh sb="2" eb="4">
      <t>ニッポウ</t>
    </rPh>
    <rPh sb="5" eb="7">
      <t>テガ</t>
    </rPh>
    <phoneticPr fontId="1"/>
  </si>
  <si>
    <t>└基本データ</t>
    <rPh sb="1" eb="3">
      <t>キホン</t>
    </rPh>
    <phoneticPr fontId="1"/>
  </si>
  <si>
    <t>詳細データ</t>
    <rPh sb="0" eb="2">
      <t>ショウサイ</t>
    </rPh>
    <phoneticPr fontId="1"/>
  </si>
  <si>
    <t>QRリーダーで読み込む事で手書き時間の短縮</t>
    <rPh sb="7" eb="8">
      <t>ヨ</t>
    </rPh>
    <rPh sb="9" eb="10">
      <t>コ</t>
    </rPh>
    <rPh sb="11" eb="12">
      <t>コト</t>
    </rPh>
    <rPh sb="13" eb="15">
      <t>テガ</t>
    </rPh>
    <rPh sb="16" eb="18">
      <t>ジカン</t>
    </rPh>
    <rPh sb="19" eb="21">
      <t>タンシュク</t>
    </rPh>
    <phoneticPr fontId="1"/>
  </si>
  <si>
    <t>└前回に読み込んだ値をPCに記憶する事で読み込み頻度を削減</t>
    <rPh sb="1" eb="3">
      <t>ゼンカイ</t>
    </rPh>
    <rPh sb="4" eb="5">
      <t>ヨ</t>
    </rPh>
    <rPh sb="6" eb="7">
      <t>コ</t>
    </rPh>
    <rPh sb="9" eb="10">
      <t>アタイ</t>
    </rPh>
    <rPh sb="14" eb="16">
      <t>キオク</t>
    </rPh>
    <rPh sb="18" eb="19">
      <t>コト</t>
    </rPh>
    <rPh sb="20" eb="21">
      <t>ヨ</t>
    </rPh>
    <rPh sb="22" eb="23">
      <t>コ</t>
    </rPh>
    <rPh sb="24" eb="26">
      <t>ヒンド</t>
    </rPh>
    <rPh sb="27" eb="29">
      <t>サクゲン</t>
    </rPh>
    <phoneticPr fontId="1"/>
  </si>
  <si>
    <t>インプットツール経由でPCに転送する事で手書き時間を削減</t>
    <rPh sb="8" eb="10">
      <t>ケイユ</t>
    </rPh>
    <rPh sb="14" eb="16">
      <t>テンソウ</t>
    </rPh>
    <rPh sb="18" eb="19">
      <t>コト</t>
    </rPh>
    <rPh sb="20" eb="22">
      <t>テガ</t>
    </rPh>
    <rPh sb="23" eb="25">
      <t>ジカン</t>
    </rPh>
    <rPh sb="26" eb="28">
      <t>サクゲン</t>
    </rPh>
    <phoneticPr fontId="1"/>
  </si>
  <si>
    <t>(端子切替毎=&gt;端子リール切替毎)</t>
    <rPh sb="1" eb="3">
      <t>タンシ</t>
    </rPh>
    <rPh sb="3" eb="5">
      <t>キリカエ</t>
    </rPh>
    <rPh sb="5" eb="6">
      <t>ゴト</t>
    </rPh>
    <rPh sb="8" eb="10">
      <t>タンシ</t>
    </rPh>
    <rPh sb="13" eb="15">
      <t>キリカエ</t>
    </rPh>
    <rPh sb="15" eb="16">
      <t>ゴト</t>
    </rPh>
    <phoneticPr fontId="1"/>
  </si>
  <si>
    <t>規格表(紙)を探す</t>
    <rPh sb="0" eb="3">
      <t>キカクヒョウ</t>
    </rPh>
    <rPh sb="4" eb="5">
      <t>カミ</t>
    </rPh>
    <rPh sb="7" eb="8">
      <t>サガ</t>
    </rPh>
    <phoneticPr fontId="1"/>
  </si>
  <si>
    <t>取引元から規格表の値データを受信しそれを表示する</t>
    <rPh sb="0" eb="3">
      <t>トリヒキモト</t>
    </rPh>
    <rPh sb="5" eb="8">
      <t>キカクヒョウ</t>
    </rPh>
    <rPh sb="9" eb="10">
      <t>アタイ</t>
    </rPh>
    <rPh sb="14" eb="16">
      <t>ジュシン</t>
    </rPh>
    <rPh sb="20" eb="22">
      <t>ヒョウジ</t>
    </rPh>
    <phoneticPr fontId="1"/>
  </si>
  <si>
    <t>取引元から規格表の画像データを受信しそれを表示する</t>
    <rPh sb="0" eb="3">
      <t>トリヒキモト</t>
    </rPh>
    <rPh sb="5" eb="8">
      <t>キカクヒョウ</t>
    </rPh>
    <rPh sb="9" eb="11">
      <t>ガゾウ</t>
    </rPh>
    <rPh sb="15" eb="17">
      <t>ジュシン</t>
    </rPh>
    <rPh sb="21" eb="23">
      <t>ヒョウジ</t>
    </rPh>
    <phoneticPr fontId="1"/>
  </si>
  <si>
    <t>└PCの規格合否判定に使用=&gt;不良規格の防止</t>
    <rPh sb="4" eb="6">
      <t>キカク</t>
    </rPh>
    <rPh sb="6" eb="8">
      <t>ゴウヒ</t>
    </rPh>
    <rPh sb="8" eb="10">
      <t>ハンテイ</t>
    </rPh>
    <rPh sb="11" eb="13">
      <t>シヨウ</t>
    </rPh>
    <rPh sb="15" eb="17">
      <t>フリョウ</t>
    </rPh>
    <rPh sb="17" eb="19">
      <t>キカク</t>
    </rPh>
    <rPh sb="20" eb="22">
      <t>ボウシ</t>
    </rPh>
    <phoneticPr fontId="1"/>
  </si>
  <si>
    <t>・生産実績の手書き時間による時間ロス</t>
    <rPh sb="1" eb="3">
      <t>セイサン</t>
    </rPh>
    <rPh sb="3" eb="5">
      <t>ジッセキ</t>
    </rPh>
    <rPh sb="6" eb="8">
      <t>テガ</t>
    </rPh>
    <rPh sb="9" eb="11">
      <t>ジカン</t>
    </rPh>
    <rPh sb="14" eb="16">
      <t>ジカン</t>
    </rPh>
    <phoneticPr fontId="1"/>
  </si>
  <si>
    <t>サンワ</t>
    <phoneticPr fontId="1"/>
  </si>
  <si>
    <t>BCR-BT2D3W</t>
  </si>
  <si>
    <t>BCR-BT2D3W</t>
    <phoneticPr fontId="1"/>
  </si>
  <si>
    <t>https://x.gd/TKjCV</t>
  </si>
  <si>
    <t>https://x.gd/TKjCV</t>
    <phoneticPr fontId="1"/>
  </si>
  <si>
    <t>出荷作業</t>
    <rPh sb="0" eb="2">
      <t>シュッカ</t>
    </rPh>
    <rPh sb="2" eb="4">
      <t>サギョウ</t>
    </rPh>
    <phoneticPr fontId="1"/>
  </si>
  <si>
    <t>・納品指示から対象製品を探す</t>
    <rPh sb="1" eb="3">
      <t>ノウヒン</t>
    </rPh>
    <rPh sb="3" eb="5">
      <t>シジ</t>
    </rPh>
    <rPh sb="7" eb="9">
      <t>タイショウ</t>
    </rPh>
    <rPh sb="9" eb="11">
      <t>セイヒン</t>
    </rPh>
    <rPh sb="12" eb="13">
      <t>サガ</t>
    </rPh>
    <phoneticPr fontId="1"/>
  </si>
  <si>
    <t>└対象製品を探す時間のロス</t>
    <rPh sb="1" eb="3">
      <t>タイショウ</t>
    </rPh>
    <rPh sb="3" eb="5">
      <t>セイヒン</t>
    </rPh>
    <rPh sb="6" eb="7">
      <t>サガ</t>
    </rPh>
    <rPh sb="8" eb="10">
      <t>ジカン</t>
    </rPh>
    <phoneticPr fontId="1"/>
  </si>
  <si>
    <t>PCでカンバンのQRを読んで合否判定を行う</t>
    <rPh sb="11" eb="12">
      <t>ヨ</t>
    </rPh>
    <rPh sb="14" eb="16">
      <t>ゴウヒ</t>
    </rPh>
    <rPh sb="16" eb="18">
      <t>ハンテイ</t>
    </rPh>
    <rPh sb="19" eb="20">
      <t>オコナ</t>
    </rPh>
    <phoneticPr fontId="1"/>
  </si>
  <si>
    <t>納品ミスによる再配達</t>
    <rPh sb="0" eb="2">
      <t>ノウヒン</t>
    </rPh>
    <rPh sb="7" eb="10">
      <t>サイハイタツ</t>
    </rPh>
    <phoneticPr fontId="1"/>
  </si>
  <si>
    <t>PCで納品が正しく完了しているかの確認を行う</t>
    <rPh sb="3" eb="5">
      <t>ノウヒン</t>
    </rPh>
    <rPh sb="6" eb="7">
      <t>タダ</t>
    </rPh>
    <rPh sb="9" eb="11">
      <t>カンリョウ</t>
    </rPh>
    <rPh sb="17" eb="19">
      <t>カクニン</t>
    </rPh>
    <rPh sb="20" eb="21">
      <t>オコナ</t>
    </rPh>
    <phoneticPr fontId="1"/>
  </si>
  <si>
    <t>この機能を有するアプリケーションが他に存在しない為、新規開発する必要があります</t>
    <rPh sb="2" eb="4">
      <t>キノウ</t>
    </rPh>
    <rPh sb="5" eb="6">
      <t>ユウ</t>
    </rPh>
    <rPh sb="17" eb="18">
      <t>ホカ</t>
    </rPh>
    <rPh sb="19" eb="21">
      <t>ソンザイ</t>
    </rPh>
    <rPh sb="24" eb="25">
      <t>タメ</t>
    </rPh>
    <rPh sb="26" eb="28">
      <t>シンキ</t>
    </rPh>
    <rPh sb="28" eb="30">
      <t>カイハツ</t>
    </rPh>
    <rPh sb="32" eb="34">
      <t>ヒツヨウ</t>
    </rPh>
    <phoneticPr fontId="1"/>
  </si>
  <si>
    <r>
      <t>サーバーに登録した</t>
    </r>
    <r>
      <rPr>
        <sz val="12"/>
        <color rgb="FFFF0000"/>
        <rFont val="ＭＳ Ｐゴシック"/>
        <family val="3"/>
        <charset val="128"/>
        <scheme val="minor"/>
      </rPr>
      <t>カンバン</t>
    </r>
    <r>
      <rPr>
        <sz val="12"/>
        <color theme="1"/>
        <rFont val="ＭＳ Ｐゴシック"/>
        <family val="3"/>
        <charset val="128"/>
        <scheme val="minor"/>
      </rPr>
      <t>情報を取得して手書き時間を削減</t>
    </r>
    <rPh sb="5" eb="7">
      <t>トウロク</t>
    </rPh>
    <rPh sb="13" eb="15">
      <t>ジョウホウ</t>
    </rPh>
    <rPh sb="16" eb="18">
      <t>シュトク</t>
    </rPh>
    <rPh sb="20" eb="22">
      <t>テガ</t>
    </rPh>
    <rPh sb="23" eb="25">
      <t>ジカン</t>
    </rPh>
    <rPh sb="26" eb="28">
      <t>サクゲン</t>
    </rPh>
    <phoneticPr fontId="1"/>
  </si>
  <si>
    <r>
      <t>└</t>
    </r>
    <r>
      <rPr>
        <sz val="12"/>
        <color rgb="FFFF0000"/>
        <rFont val="ＭＳ Ｐゴシック"/>
        <family val="3"/>
        <charset val="128"/>
        <scheme val="minor"/>
      </rPr>
      <t>規格測定器</t>
    </r>
    <r>
      <rPr>
        <sz val="12"/>
        <color theme="1"/>
        <rFont val="ＭＳ Ｐゴシック"/>
        <family val="3"/>
        <charset val="128"/>
        <scheme val="minor"/>
      </rPr>
      <t>の値を手書き(規格変更/毎)</t>
    </r>
    <rPh sb="1" eb="3">
      <t>キカク</t>
    </rPh>
    <rPh sb="3" eb="5">
      <t>ソクテイ</t>
    </rPh>
    <rPh sb="5" eb="6">
      <t>キ</t>
    </rPh>
    <rPh sb="7" eb="8">
      <t>アタイ</t>
    </rPh>
    <rPh sb="9" eb="11">
      <t>テガ</t>
    </rPh>
    <rPh sb="13" eb="15">
      <t>キカク</t>
    </rPh>
    <rPh sb="15" eb="17">
      <t>ヘンコウ</t>
    </rPh>
    <rPh sb="18" eb="19">
      <t>ゴト</t>
    </rPh>
    <phoneticPr fontId="1"/>
  </si>
  <si>
    <r>
      <rPr>
        <sz val="12"/>
        <color rgb="FFFF0000"/>
        <rFont val="ＭＳ Ｐゴシック"/>
        <family val="3"/>
        <charset val="128"/>
        <scheme val="minor"/>
      </rPr>
      <t>端子ロット№</t>
    </r>
    <r>
      <rPr>
        <sz val="12"/>
        <color theme="1"/>
        <rFont val="ＭＳ Ｐゴシック"/>
        <family val="3"/>
        <charset val="128"/>
        <scheme val="minor"/>
      </rPr>
      <t>(端子切替/毎)を手書き</t>
    </r>
    <rPh sb="0" eb="2">
      <t>タンシ</t>
    </rPh>
    <rPh sb="7" eb="9">
      <t>タンシ</t>
    </rPh>
    <rPh sb="9" eb="11">
      <t>キリカエ</t>
    </rPh>
    <rPh sb="12" eb="13">
      <t>ゴト</t>
    </rPh>
    <rPh sb="15" eb="17">
      <t>テガ</t>
    </rPh>
    <phoneticPr fontId="1"/>
  </si>
  <si>
    <t>生産向上の考察</t>
    <rPh sb="0" eb="2">
      <t>セイサン</t>
    </rPh>
    <rPh sb="2" eb="4">
      <t>コウジョウ</t>
    </rPh>
    <rPh sb="5" eb="7">
      <t>コウサツ</t>
    </rPh>
    <phoneticPr fontId="1"/>
  </si>
  <si>
    <t>2024/9時点</t>
    <rPh sb="6" eb="8">
      <t>ジテン</t>
    </rPh>
    <phoneticPr fontId="1"/>
  </si>
  <si>
    <t>ユニクロ等で採用されているICタグをかんばんに取り付けると在庫計上がより簡単になります。</t>
    <rPh sb="4" eb="5">
      <t>ナド</t>
    </rPh>
    <rPh sb="6" eb="8">
      <t>サイヨウ</t>
    </rPh>
    <rPh sb="23" eb="24">
      <t>ト</t>
    </rPh>
    <rPh sb="25" eb="26">
      <t>ツ</t>
    </rPh>
    <rPh sb="29" eb="31">
      <t>ザイコ</t>
    </rPh>
    <rPh sb="31" eb="33">
      <t>ケイジョウ</t>
    </rPh>
    <rPh sb="36" eb="38">
      <t>カンタン</t>
    </rPh>
    <phoneticPr fontId="1"/>
  </si>
  <si>
    <t>しかし受注元の四国部品㈱徳島工場から発行される生産指示書(紙)がQRコードなのでそれに合わせてQRコードを採用しました。</t>
    <rPh sb="3" eb="6">
      <t>ジュチュウモト</t>
    </rPh>
    <rPh sb="7" eb="9">
      <t>シコク</t>
    </rPh>
    <rPh sb="9" eb="11">
      <t>ブヒン</t>
    </rPh>
    <rPh sb="12" eb="14">
      <t>トクシマ</t>
    </rPh>
    <rPh sb="14" eb="16">
      <t>コウジョウ</t>
    </rPh>
    <rPh sb="18" eb="20">
      <t>ハッコウ</t>
    </rPh>
    <rPh sb="23" eb="25">
      <t>セイサン</t>
    </rPh>
    <rPh sb="25" eb="28">
      <t>シジショ</t>
    </rPh>
    <rPh sb="29" eb="30">
      <t>カミ</t>
    </rPh>
    <rPh sb="43" eb="44">
      <t>ア</t>
    </rPh>
    <rPh sb="53" eb="55">
      <t>サイヨウ</t>
    </rPh>
    <phoneticPr fontId="1"/>
  </si>
  <si>
    <r>
      <t>下記の110%は見込みで他工場に導入した</t>
    </r>
    <r>
      <rPr>
        <sz val="11"/>
        <color rgb="FFFF0000"/>
        <rFont val="ＭＳ Ｐゴシック"/>
        <family val="3"/>
        <charset val="128"/>
        <scheme val="minor"/>
      </rPr>
      <t>類似システム※</t>
    </r>
    <r>
      <rPr>
        <sz val="11"/>
        <color theme="1"/>
        <rFont val="ＭＳ Ｐゴシック"/>
        <family val="2"/>
        <charset val="128"/>
        <scheme val="minor"/>
      </rPr>
      <t>の参考値です</t>
    </r>
    <rPh sb="0" eb="2">
      <t>カキ</t>
    </rPh>
    <rPh sb="8" eb="10">
      <t>ミコ</t>
    </rPh>
    <rPh sb="12" eb="15">
      <t>タコウジョウ</t>
    </rPh>
    <rPh sb="16" eb="18">
      <t>ドウニュウ</t>
    </rPh>
    <rPh sb="20" eb="22">
      <t>ルイジ</t>
    </rPh>
    <rPh sb="28" eb="30">
      <t>サンコウ</t>
    </rPh>
    <rPh sb="30" eb="31">
      <t>アタイ</t>
    </rPh>
    <phoneticPr fontId="1"/>
  </si>
  <si>
    <r>
      <rPr>
        <sz val="11"/>
        <color rgb="FFFF0000"/>
        <rFont val="ＭＳ Ｐゴシック"/>
        <family val="3"/>
        <charset val="128"/>
        <scheme val="minor"/>
      </rPr>
      <t>※類似システム</t>
    </r>
    <r>
      <rPr>
        <sz val="11"/>
        <color theme="1"/>
        <rFont val="ＭＳ Ｐゴシック"/>
        <family val="2"/>
        <charset val="128"/>
        <scheme val="minor"/>
      </rPr>
      <t>は「カンバン」に対応しておらず「カンバン」での生産をメインにしている当事業所での使用は不可能です</t>
    </r>
    <rPh sb="1" eb="3">
      <t>ルイジ</t>
    </rPh>
    <rPh sb="15" eb="17">
      <t>タイオウ</t>
    </rPh>
    <rPh sb="30" eb="32">
      <t>セイサン</t>
    </rPh>
    <rPh sb="41" eb="42">
      <t>トウ</t>
    </rPh>
    <rPh sb="42" eb="45">
      <t>ジギョウショ</t>
    </rPh>
    <rPh sb="47" eb="49">
      <t>シヨウ</t>
    </rPh>
    <rPh sb="50" eb="53">
      <t>フカノウ</t>
    </rPh>
    <phoneticPr fontId="1"/>
  </si>
  <si>
    <t>本件のシステムは「カンバン」と従来の製造指示書(紙)の両方に対応します</t>
    <rPh sb="0" eb="2">
      <t>ホンケン</t>
    </rPh>
    <rPh sb="15" eb="17">
      <t>ジュウライ</t>
    </rPh>
    <rPh sb="18" eb="23">
      <t>セイゾウシジショ</t>
    </rPh>
    <rPh sb="24" eb="25">
      <t>カミ</t>
    </rPh>
    <rPh sb="27" eb="29">
      <t>リョウホウ</t>
    </rPh>
    <rPh sb="30" eb="32">
      <t>タイオウ</t>
    </rPh>
    <phoneticPr fontId="1"/>
  </si>
  <si>
    <t>導入前(現状)</t>
    <rPh sb="0" eb="3">
      <t>ドウニュウマエ</t>
    </rPh>
    <rPh sb="4" eb="6">
      <t>ゲンジョウ</t>
    </rPh>
    <phoneticPr fontId="1"/>
  </si>
  <si>
    <t>導入後</t>
    <rPh sb="0" eb="3">
      <t>ドウニュウゴ</t>
    </rPh>
    <phoneticPr fontId="1"/>
  </si>
  <si>
    <r>
      <t>その他７項目を手書き(</t>
    </r>
    <r>
      <rPr>
        <sz val="12"/>
        <color rgb="FFFF0000"/>
        <rFont val="ＭＳ Ｐゴシック"/>
        <family val="3"/>
        <charset val="128"/>
        <scheme val="minor"/>
      </rPr>
      <t>カンバン</t>
    </r>
    <r>
      <rPr>
        <sz val="12"/>
        <color theme="1"/>
        <rFont val="ＭＳ Ｐゴシック"/>
        <family val="3"/>
        <charset val="128"/>
        <scheme val="minor"/>
      </rPr>
      <t>情報)</t>
    </r>
    <rPh sb="2" eb="3">
      <t>タ</t>
    </rPh>
    <rPh sb="4" eb="6">
      <t>コウモク</t>
    </rPh>
    <rPh sb="7" eb="9">
      <t>テガ</t>
    </rPh>
    <rPh sb="15" eb="17">
      <t>ジョウホウ</t>
    </rPh>
    <phoneticPr fontId="1"/>
  </si>
  <si>
    <t>↓</t>
    <phoneticPr fontId="1"/>
  </si>
  <si>
    <t>↓</t>
    <phoneticPr fontId="1"/>
  </si>
  <si>
    <t>↓</t>
    <phoneticPr fontId="1"/>
  </si>
  <si>
    <t>②サンプル用に圧着作業を1本行う</t>
    <rPh sb="5" eb="6">
      <t>ヨウ</t>
    </rPh>
    <rPh sb="7" eb="9">
      <t>アッチャク</t>
    </rPh>
    <rPh sb="9" eb="11">
      <t>サギョウ</t>
    </rPh>
    <rPh sb="13" eb="14">
      <t>ホン</t>
    </rPh>
    <rPh sb="14" eb="15">
      <t>オコナ</t>
    </rPh>
    <phoneticPr fontId="1"/>
  </si>
  <si>
    <t>③サンプルの規格測定を行う</t>
    <rPh sb="6" eb="8">
      <t>キカク</t>
    </rPh>
    <rPh sb="8" eb="10">
      <t>ソクテイ</t>
    </rPh>
    <rPh sb="11" eb="12">
      <t>オコナ</t>
    </rPh>
    <phoneticPr fontId="1"/>
  </si>
  <si>
    <t>④サンプルの測定値を作業日報に手書きする</t>
    <rPh sb="6" eb="8">
      <t>ソクテイ</t>
    </rPh>
    <rPh sb="8" eb="9">
      <t>チ</t>
    </rPh>
    <rPh sb="10" eb="12">
      <t>サギョウ</t>
    </rPh>
    <rPh sb="12" eb="14">
      <t>ニッポウ</t>
    </rPh>
    <rPh sb="15" eb="17">
      <t>テガ</t>
    </rPh>
    <phoneticPr fontId="1"/>
  </si>
  <si>
    <t>↓</t>
    <phoneticPr fontId="1"/>
  </si>
  <si>
    <t>準完日,背番号,品種/サイズ,連番,芯線数,数量,端子品番,端子製造№</t>
    <rPh sb="0" eb="1">
      <t>ジュン</t>
    </rPh>
    <rPh sb="1" eb="2">
      <t>カン</t>
    </rPh>
    <rPh sb="2" eb="3">
      <t>ヒ</t>
    </rPh>
    <rPh sb="4" eb="7">
      <t>セバンゴウ</t>
    </rPh>
    <rPh sb="8" eb="10">
      <t>ヒンシュ</t>
    </rPh>
    <rPh sb="15" eb="17">
      <t>レンバン</t>
    </rPh>
    <rPh sb="18" eb="20">
      <t>シンセン</t>
    </rPh>
    <rPh sb="20" eb="21">
      <t>スウ</t>
    </rPh>
    <rPh sb="22" eb="24">
      <t>スウリョウ</t>
    </rPh>
    <rPh sb="25" eb="27">
      <t>タンシ</t>
    </rPh>
    <rPh sb="27" eb="29">
      <t>ヒンバン</t>
    </rPh>
    <rPh sb="30" eb="32">
      <t>タンシ</t>
    </rPh>
    <rPh sb="32" eb="34">
      <t>セイゾウ</t>
    </rPh>
    <phoneticPr fontId="1"/>
  </si>
  <si>
    <t>⑤圧着作業を行う</t>
    <rPh sb="1" eb="3">
      <t>アッチャク</t>
    </rPh>
    <rPh sb="3" eb="5">
      <t>サギョウ</t>
    </rPh>
    <rPh sb="6" eb="7">
      <t>オコナ</t>
    </rPh>
    <phoneticPr fontId="1"/>
  </si>
  <si>
    <t>⑥サンプルの規格測定を行う</t>
    <rPh sb="6" eb="8">
      <t>キカク</t>
    </rPh>
    <rPh sb="8" eb="10">
      <t>ソクテイ</t>
    </rPh>
    <rPh sb="11" eb="12">
      <t>オコナ</t>
    </rPh>
    <phoneticPr fontId="1"/>
  </si>
  <si>
    <t>⑦サンプルの測定値を作業日報に手書きする</t>
    <rPh sb="6" eb="8">
      <t>ソクテイ</t>
    </rPh>
    <rPh sb="8" eb="9">
      <t>チ</t>
    </rPh>
    <rPh sb="10" eb="12">
      <t>サギョウ</t>
    </rPh>
    <rPh sb="12" eb="14">
      <t>ニッポウ</t>
    </rPh>
    <rPh sb="15" eb="17">
      <t>テガ</t>
    </rPh>
    <phoneticPr fontId="1"/>
  </si>
  <si>
    <t>⑧作業終了</t>
    <rPh sb="1" eb="3">
      <t>サギョウ</t>
    </rPh>
    <rPh sb="3" eb="5">
      <t>シュウリョウ</t>
    </rPh>
    <phoneticPr fontId="1"/>
  </si>
  <si>
    <t>⓪作業開始</t>
    <rPh sb="1" eb="3">
      <t>サギョウ</t>
    </rPh>
    <rPh sb="3" eb="5">
      <t>カイシ</t>
    </rPh>
    <phoneticPr fontId="1"/>
  </si>
  <si>
    <t>④測定器のボタンを押してPCに値を転送する</t>
    <rPh sb="1" eb="3">
      <t>ソクテイ</t>
    </rPh>
    <rPh sb="3" eb="4">
      <t>キ</t>
    </rPh>
    <rPh sb="9" eb="10">
      <t>オ</t>
    </rPh>
    <rPh sb="15" eb="16">
      <t>アタイ</t>
    </rPh>
    <rPh sb="17" eb="19">
      <t>テンソウ</t>
    </rPh>
    <phoneticPr fontId="1"/>
  </si>
  <si>
    <r>
      <t>①作業日報に</t>
    </r>
    <r>
      <rPr>
        <u/>
        <sz val="12"/>
        <color rgb="FFFF0000"/>
        <rFont val="ＭＳ Ｐゴシック"/>
        <family val="3"/>
        <charset val="128"/>
        <scheme val="minor"/>
      </rPr>
      <t>作業条件</t>
    </r>
    <r>
      <rPr>
        <sz val="12"/>
        <color rgb="FFFF0000"/>
        <rFont val="ＭＳ Ｐゴシック"/>
        <family val="3"/>
        <charset val="128"/>
        <scheme val="minor"/>
      </rPr>
      <t>を手書きする</t>
    </r>
    <rPh sb="1" eb="3">
      <t>サギョウ</t>
    </rPh>
    <rPh sb="3" eb="5">
      <t>ニッポウ</t>
    </rPh>
    <rPh sb="6" eb="8">
      <t>サギョウ</t>
    </rPh>
    <rPh sb="8" eb="10">
      <t>ジョウケン</t>
    </rPh>
    <rPh sb="11" eb="13">
      <t>テガ</t>
    </rPh>
    <phoneticPr fontId="1"/>
  </si>
  <si>
    <t>↓</t>
    <phoneticPr fontId="1"/>
  </si>
  <si>
    <t>⑦測定器のボタンを押してPCに値を転送する</t>
    <rPh sb="1" eb="3">
      <t>ソクテイ</t>
    </rPh>
    <rPh sb="3" eb="4">
      <t>キ</t>
    </rPh>
    <rPh sb="9" eb="10">
      <t>オ</t>
    </rPh>
    <rPh sb="15" eb="16">
      <t>アタイ</t>
    </rPh>
    <rPh sb="17" eb="19">
      <t>テンソウ</t>
    </rPh>
    <phoneticPr fontId="1"/>
  </si>
  <si>
    <t>①納品指示リストを見ながら対象製品を探す</t>
    <rPh sb="1" eb="3">
      <t>ノウヒン</t>
    </rPh>
    <rPh sb="3" eb="5">
      <t>シジ</t>
    </rPh>
    <rPh sb="9" eb="10">
      <t>ミ</t>
    </rPh>
    <rPh sb="13" eb="15">
      <t>タイショウ</t>
    </rPh>
    <rPh sb="15" eb="17">
      <t>セイヒン</t>
    </rPh>
    <rPh sb="18" eb="19">
      <t>サガ</t>
    </rPh>
    <phoneticPr fontId="1"/>
  </si>
  <si>
    <t>↓</t>
    <phoneticPr fontId="1"/>
  </si>
  <si>
    <t>②納品指示リストをチェックして出荷梱包</t>
    <rPh sb="1" eb="3">
      <t>ノウヒン</t>
    </rPh>
    <rPh sb="3" eb="5">
      <t>シジ</t>
    </rPh>
    <rPh sb="15" eb="17">
      <t>シュッカ</t>
    </rPh>
    <rPh sb="17" eb="19">
      <t>コンポウ</t>
    </rPh>
    <phoneticPr fontId="1"/>
  </si>
  <si>
    <t>③出荷</t>
    <rPh sb="1" eb="3">
      <t>シュッカ</t>
    </rPh>
    <phoneticPr fontId="1"/>
  </si>
  <si>
    <t>④在庫数を手入力で補正</t>
    <rPh sb="1" eb="4">
      <t>ザイコスウ</t>
    </rPh>
    <rPh sb="5" eb="8">
      <t>テニュウリョク</t>
    </rPh>
    <rPh sb="9" eb="11">
      <t>ホセイ</t>
    </rPh>
    <phoneticPr fontId="1"/>
  </si>
  <si>
    <t>①QRリーダーで読み込んで作業条件をPCに転送</t>
    <rPh sb="8" eb="9">
      <t>ヨ</t>
    </rPh>
    <rPh sb="10" eb="11">
      <t>コ</t>
    </rPh>
    <rPh sb="13" eb="15">
      <t>サギョウ</t>
    </rPh>
    <rPh sb="15" eb="17">
      <t>ジョウケン</t>
    </rPh>
    <rPh sb="21" eb="23">
      <t>テンソウ</t>
    </rPh>
    <phoneticPr fontId="1"/>
  </si>
  <si>
    <t>②QRリーダーで照合を行う</t>
    <rPh sb="8" eb="10">
      <t>ショウゴウ</t>
    </rPh>
    <rPh sb="11" eb="12">
      <t>オコナ</t>
    </rPh>
    <phoneticPr fontId="1"/>
  </si>
  <si>
    <t>④在庫数が自動で補正される</t>
    <rPh sb="1" eb="4">
      <t>ザイコスウ</t>
    </rPh>
    <rPh sb="5" eb="7">
      <t>ジドウ</t>
    </rPh>
    <rPh sb="8" eb="10">
      <t>ホセイ</t>
    </rPh>
    <phoneticPr fontId="1"/>
  </si>
  <si>
    <t>電線に端子を圧着する作業です</t>
  </si>
  <si>
    <t>2025/2/5の連絡を受けて新規作成</t>
    <rPh sb="9" eb="11">
      <t>レンラク</t>
    </rPh>
    <rPh sb="12" eb="13">
      <t>ウ</t>
    </rPh>
    <rPh sb="15" eb="17">
      <t>シンキ</t>
    </rPh>
    <rPh sb="17" eb="19">
      <t>サクセイ</t>
    </rPh>
    <phoneticPr fontId="1"/>
  </si>
  <si>
    <t>3:実績入力システムのPCセットアップ作業</t>
    <rPh sb="2" eb="4">
      <t>ジッセキ</t>
    </rPh>
    <rPh sb="4" eb="6">
      <t>ニュウリョク</t>
    </rPh>
    <rPh sb="19" eb="21">
      <t>サギョウ</t>
    </rPh>
    <phoneticPr fontId="1"/>
  </si>
  <si>
    <t>2:実績入力システムの開発</t>
    <rPh sb="2" eb="4">
      <t>ジッセキ</t>
    </rPh>
    <rPh sb="4" eb="6">
      <t>ニュウリョク</t>
    </rPh>
    <rPh sb="11" eb="13">
      <t>カイハツ</t>
    </rPh>
    <phoneticPr fontId="1"/>
  </si>
  <si>
    <t>1:かんばん管理システムの開発</t>
    <rPh sb="6" eb="8">
      <t>カンリ</t>
    </rPh>
    <rPh sb="13" eb="15">
      <t>カイハツ</t>
    </rPh>
    <phoneticPr fontId="1"/>
  </si>
  <si>
    <t>5:NASのWEBサーバー化とWEBサイトの構築作業</t>
    <rPh sb="13" eb="14">
      <t>カ</t>
    </rPh>
    <rPh sb="22" eb="24">
      <t>コウチク</t>
    </rPh>
    <rPh sb="24" eb="26">
      <t>サギョウ</t>
    </rPh>
    <phoneticPr fontId="1"/>
  </si>
  <si>
    <t>導入前と後の作業比較</t>
    <rPh sb="0" eb="2">
      <t>ドウニュウ</t>
    </rPh>
    <rPh sb="2" eb="3">
      <t>マエ</t>
    </rPh>
    <rPh sb="4" eb="5">
      <t>アト</t>
    </rPh>
    <rPh sb="6" eb="8">
      <t>サギョウ</t>
    </rPh>
    <rPh sb="8" eb="10">
      <t>ヒカク</t>
    </rPh>
    <phoneticPr fontId="1"/>
  </si>
  <si>
    <t>更新履歴</t>
    <rPh sb="0" eb="2">
      <t>コウシン</t>
    </rPh>
    <rPh sb="2" eb="4">
      <t>リレキ</t>
    </rPh>
    <phoneticPr fontId="1"/>
  </si>
  <si>
    <t>日付</t>
    <rPh sb="0" eb="2">
      <t>ヒヅケ</t>
    </rPh>
    <phoneticPr fontId="1"/>
  </si>
  <si>
    <t>新規作成</t>
    <rPh sb="0" eb="2">
      <t>シンキ</t>
    </rPh>
    <rPh sb="2" eb="4">
      <t>サクセイ</t>
    </rPh>
    <phoneticPr fontId="1"/>
  </si>
  <si>
    <t>内容</t>
    <rPh sb="0" eb="2">
      <t>ナイヨウ</t>
    </rPh>
    <phoneticPr fontId="1"/>
  </si>
  <si>
    <t>シート[具体的な比較]の追加</t>
    <rPh sb="4" eb="6">
      <t>グタイ</t>
    </rPh>
    <rPh sb="6" eb="7">
      <t>テキ</t>
    </rPh>
    <rPh sb="8" eb="10">
      <t>ヒカク</t>
    </rPh>
    <rPh sb="12" eb="14">
      <t>ツイカ</t>
    </rPh>
    <phoneticPr fontId="1"/>
  </si>
  <si>
    <t>シート[見積書]の変更</t>
    <rPh sb="4" eb="7">
      <t>ミツモリショ</t>
    </rPh>
    <rPh sb="9" eb="11">
      <t>ヘンコウ</t>
    </rPh>
    <phoneticPr fontId="1"/>
  </si>
  <si>
    <t>詳細</t>
    <rPh sb="0" eb="2">
      <t>ショウサイ</t>
    </rPh>
    <phoneticPr fontId="1"/>
  </si>
  <si>
    <t>非光沢フィルムが対象外の為、訂正
2,858,634→2,846,314(-12,320)税込</t>
    <rPh sb="0" eb="3">
      <t>ヒコウタク</t>
    </rPh>
    <rPh sb="8" eb="11">
      <t>タイショウガイ</t>
    </rPh>
    <rPh sb="12" eb="13">
      <t>タメ</t>
    </rPh>
    <rPh sb="14" eb="16">
      <t>テイセイ</t>
    </rPh>
    <rPh sb="45" eb="47">
      <t>ゼイコ</t>
    </rPh>
    <phoneticPr fontId="1"/>
  </si>
  <si>
    <t>非光沢フィルムの完全削除</t>
    <rPh sb="0" eb="3">
      <t>ヒコウタク</t>
    </rPh>
    <rPh sb="8" eb="10">
      <t>カンゼン</t>
    </rPh>
    <rPh sb="10" eb="12">
      <t>サクジョ</t>
    </rPh>
    <phoneticPr fontId="1"/>
  </si>
  <si>
    <t>LAN HUB 24ポート_CBS110-24T-JP ※1</t>
    <phoneticPr fontId="1"/>
  </si>
  <si>
    <t>LANケーブルCAT6A_KB-T6A-CB100W</t>
    <phoneticPr fontId="1"/>
  </si>
  <si>
    <t>LANケーブルカシメ_LAN-TLKIT3</t>
    <phoneticPr fontId="1"/>
  </si>
  <si>
    <t>LANコネクタCAT6A_-ADT-6ARJKNH-100</t>
    <phoneticPr fontId="1"/>
  </si>
  <si>
    <t>無線LANルーター_WXR-11000XE12 ※2</t>
    <phoneticPr fontId="1"/>
  </si>
  <si>
    <t>%：の記号を削除(インプットツール)</t>
    <rPh sb="3" eb="5">
      <t>キゴウ</t>
    </rPh>
    <rPh sb="6" eb="8">
      <t>サクジョ</t>
    </rPh>
    <phoneticPr fontId="1"/>
  </si>
  <si>
    <t>ワイヤレスQRリーダー_BCR-BT2D3W ※4</t>
    <phoneticPr fontId="1"/>
  </si>
  <si>
    <t>&amp;：の記号を削除(連番無しのインプットツール以外）</t>
    <rPh sb="3" eb="5">
      <t>キゴウ</t>
    </rPh>
    <rPh sb="6" eb="8">
      <t>サクジョ</t>
    </rPh>
    <rPh sb="9" eb="11">
      <t>レンバン</t>
    </rPh>
    <rPh sb="11" eb="12">
      <t>ナ</t>
    </rPh>
    <rPh sb="22" eb="24">
      <t>イガイ</t>
    </rPh>
    <phoneticPr fontId="1"/>
  </si>
  <si>
    <t>インプットツール_IT-020U ※3</t>
    <phoneticPr fontId="1"/>
  </si>
  <si>
    <t>インプットツール用コード_937387 ※3</t>
    <phoneticPr fontId="1"/>
  </si>
  <si>
    <t>4:NASのセットアップ作業 ※5</t>
    <rPh sb="12" eb="14">
      <t>サギョウ</t>
    </rPh>
    <phoneticPr fontId="1"/>
  </si>
  <si>
    <t>フォントカラー#F00→#000</t>
    <phoneticPr fontId="1"/>
  </si>
  <si>
    <t>&amp;:アイシーランド・マツノ様お見積り金額の削除</t>
    <rPh sb="21" eb="23">
      <t>サクジョ</t>
    </rPh>
    <phoneticPr fontId="1"/>
  </si>
  <si>
    <t>見積有効期限:   8/30</t>
    <phoneticPr fontId="1"/>
  </si>
  <si>
    <t>見積有効期限の変更3/31→8/30(指定)</t>
    <rPh sb="0" eb="2">
      <t>ミツモ</t>
    </rPh>
    <rPh sb="2" eb="6">
      <t>ユウコウキゲン</t>
    </rPh>
    <rPh sb="7" eb="9">
      <t>ヘンコウ</t>
    </rPh>
    <rPh sb="19" eb="21">
      <t>シテイ</t>
    </rPh>
    <phoneticPr fontId="1"/>
  </si>
  <si>
    <t>納入予定:   12/20</t>
    <phoneticPr fontId="1"/>
  </si>
  <si>
    <t>納入予定日の変更9/20→12/20</t>
    <rPh sb="0" eb="4">
      <t>ノウニュウヨテイ</t>
    </rPh>
    <rPh sb="4" eb="5">
      <t>ヒ</t>
    </rPh>
    <rPh sb="6" eb="8">
      <t>ヘンコウ</t>
    </rPh>
    <phoneticPr fontId="1"/>
  </si>
  <si>
    <t>070-9133-6256</t>
    <phoneticPr fontId="1"/>
  </si>
  <si>
    <t>マツノ様再見積もりによる金額変更265018→282600税抜き(17582)</t>
    <rPh sb="3" eb="4">
      <t>サマ</t>
    </rPh>
    <rPh sb="4" eb="5">
      <t>サイ</t>
    </rPh>
    <rPh sb="5" eb="7">
      <t>ミツ</t>
    </rPh>
    <rPh sb="12" eb="14">
      <t>キンガク</t>
    </rPh>
    <rPh sb="14" eb="16">
      <t>ヘンコウ</t>
    </rPh>
    <rPh sb="29" eb="31">
      <t>ゼイヌ</t>
    </rPh>
    <phoneticPr fontId="1"/>
  </si>
  <si>
    <t>https://x.gd/kIJYO</t>
  </si>
  <si>
    <t>https://x.gd/kIJYO</t>
    <phoneticPr fontId="1"/>
  </si>
  <si>
    <t>単価(税込)</t>
    <rPh sb="0" eb="2">
      <t>タンカ</t>
    </rPh>
    <rPh sb="3" eb="5">
      <t>ゼイコ</t>
    </rPh>
    <phoneticPr fontId="1"/>
  </si>
  <si>
    <t>非光沢</t>
  </si>
  <si>
    <t>非光沢</t>
    <rPh sb="0" eb="3">
      <t>ヒコウタク</t>
    </rPh>
    <phoneticPr fontId="1"/>
  </si>
  <si>
    <t>NXTPAPER 11 Plus</t>
  </si>
  <si>
    <t>NXTPAPER 11 Plus</t>
    <phoneticPr fontId="1"/>
  </si>
  <si>
    <t>TCL</t>
  </si>
  <si>
    <t>TCL</t>
    <phoneticPr fontId="1"/>
  </si>
  <si>
    <t>Androidタブレット</t>
  </si>
  <si>
    <t>Androidタブレット</t>
    <phoneticPr fontId="1"/>
  </si>
  <si>
    <t>https://x.gd/99ylK</t>
    <phoneticPr fontId="1"/>
  </si>
  <si>
    <t>NETUM</t>
    <phoneticPr fontId="1"/>
  </si>
  <si>
    <t>C750</t>
    <phoneticPr fontId="1"/>
  </si>
  <si>
    <t>Anker</t>
    <phoneticPr fontId="1"/>
  </si>
  <si>
    <t>USBハブ</t>
    <phoneticPr fontId="1"/>
  </si>
  <si>
    <t>Nano 7-in-1</t>
    <phoneticPr fontId="1"/>
  </si>
  <si>
    <t>url</t>
    <phoneticPr fontId="1"/>
  </si>
  <si>
    <t>https://x.gd/IgeDC</t>
    <phoneticPr fontId="1"/>
  </si>
  <si>
    <t>単価/台</t>
    <rPh sb="0" eb="2">
      <t>タンカ</t>
    </rPh>
    <rPh sb="3" eb="4">
      <t>ダイ</t>
    </rPh>
    <phoneticPr fontId="1"/>
  </si>
  <si>
    <t>※インプットツールは四国部品?</t>
    <rPh sb="10" eb="14">
      <t>シコクブヒン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</si>
</sst>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quot;¥&quot;\-#,##0"/>
    <numFmt numFmtId="176" formatCode="0&quot;wh&quot;"/>
    <numFmt numFmtId="177" formatCode="0.00&quot;kwh&quot;"/>
    <numFmt numFmtId="178" formatCode="0.0&quot;h&quot;"/>
    <numFmt numFmtId="179" formatCode="0.0&quot;円/kWh&quot;"/>
    <numFmt numFmtId="180" formatCode="0&quot;円&quot;"/>
    <numFmt numFmtId="181" formatCode="&quot;発&quot;&quot;行&quot;&quot;日&quot;\:yyyy&quot;年&quot;m&quot;月&quot;d&quot;日&quot;"/>
    <numFmt numFmtId="182" formatCode="&quot;納&quot;&quot;品&quot;&quot;予&quot;&quot;定&quot;\:\ \ \ \ yyyy/m/d"/>
    <numFmt numFmtId="183" formatCode="&quot;見&quot;&quot;積&quot;&quot;有&quot;&quot;効&quot;&quot;期&quot;&quot;限&quot;\:\ \ \ \ yyyy/m/d"/>
    <numFmt numFmtId="184" formatCode="&quot;更&quot;&quot;新&quot;&quot;日&quot;\:yyyy&quot;年&quot;mm&quot;月&quot;dd&quot;日&quot;"/>
  </numFmts>
  <fonts count="4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rgb="FFFF0000"/>
      <name val="ＭＳ Ｐゴシック"/>
      <family val="2"/>
      <charset val="128"/>
      <scheme val="minor"/>
    </font>
    <font>
      <b/>
      <sz val="11"/>
      <color theme="1"/>
      <name val="ＭＳ Ｐゴシック"/>
      <family val="3"/>
      <charset val="128"/>
      <scheme val="minor"/>
    </font>
    <font>
      <u/>
      <sz val="11"/>
      <color theme="10"/>
      <name val="ＭＳ Ｐゴシック"/>
      <family val="2"/>
      <charset val="128"/>
      <scheme val="minor"/>
    </font>
    <font>
      <sz val="11"/>
      <color rgb="FFFF0000"/>
      <name val="ＭＳ Ｐゴシック"/>
      <family val="3"/>
      <charset val="128"/>
      <scheme val="minor"/>
    </font>
    <font>
      <u/>
      <sz val="11"/>
      <color rgb="FFFF0000"/>
      <name val="ＭＳ Ｐゴシック"/>
      <family val="3"/>
      <charset val="128"/>
      <scheme val="minor"/>
    </font>
    <font>
      <sz val="11"/>
      <name val="ＭＳ Ｐゴシック"/>
      <family val="2"/>
      <charset val="128"/>
      <scheme val="minor"/>
    </font>
    <font>
      <sz val="11"/>
      <color rgb="FFFF66FF"/>
      <name val="ＭＳ Ｐゴシック"/>
      <family val="2"/>
      <charset val="128"/>
      <scheme val="minor"/>
    </font>
    <font>
      <sz val="11"/>
      <name val="ＭＳ Ｐゴシック"/>
      <family val="3"/>
      <charset val="128"/>
      <scheme val="minor"/>
    </font>
    <font>
      <u/>
      <sz val="11"/>
      <name val="ＭＳ Ｐゴシック"/>
      <family val="3"/>
      <charset val="128"/>
      <scheme val="minor"/>
    </font>
    <font>
      <sz val="6"/>
      <name val="ＭＳ Ｐゴシック"/>
      <family val="3"/>
      <charset val="128"/>
    </font>
    <font>
      <sz val="10"/>
      <name val="ＭＳ Ｐゴシック"/>
      <family val="3"/>
      <charset val="128"/>
    </font>
    <font>
      <sz val="11"/>
      <color theme="1"/>
      <name val="ＭＳ Ｐゴシック"/>
      <family val="3"/>
      <charset val="128"/>
      <scheme val="minor"/>
    </font>
    <font>
      <sz val="11"/>
      <color theme="0"/>
      <name val="Meiryo UI"/>
      <family val="3"/>
      <charset val="128"/>
    </font>
    <font>
      <sz val="10"/>
      <color theme="1"/>
      <name val="Meiryo UI"/>
      <family val="3"/>
      <charset val="128"/>
    </font>
    <font>
      <sz val="11"/>
      <color theme="1"/>
      <name val="Meiryo UI"/>
      <family val="3"/>
      <charset val="128"/>
    </font>
    <font>
      <sz val="9"/>
      <color theme="1"/>
      <name val="Meiryo UI"/>
      <family val="3"/>
      <charset val="128"/>
    </font>
    <font>
      <b/>
      <sz val="11"/>
      <color theme="1"/>
      <name val="Meiryo UI"/>
      <family val="3"/>
      <charset val="128"/>
    </font>
    <font>
      <sz val="10"/>
      <color theme="1"/>
      <name val="ＭＳ Ｐゴシック"/>
      <family val="2"/>
      <charset val="128"/>
      <scheme val="minor"/>
    </font>
    <font>
      <sz val="11"/>
      <name val="ＭＳ Ｐゴシック"/>
      <family val="3"/>
      <charset val="128"/>
    </font>
    <font>
      <b/>
      <sz val="11"/>
      <color rgb="FFFF0000"/>
      <name val="ＭＳ Ｐゴシック"/>
      <family val="3"/>
      <charset val="128"/>
      <scheme val="minor"/>
    </font>
    <font>
      <sz val="9"/>
      <color rgb="FFFF0000"/>
      <name val="Meiryo UI"/>
      <family val="3"/>
      <charset val="128"/>
    </font>
    <font>
      <sz val="9"/>
      <name val="Meiryo UI"/>
      <family val="3"/>
      <charset val="128"/>
    </font>
    <font>
      <sz val="12"/>
      <color theme="1"/>
      <name val="ＭＳ Ｐゴシック"/>
      <family val="3"/>
      <charset val="128"/>
      <scheme val="minor"/>
    </font>
    <font>
      <sz val="13"/>
      <color theme="1"/>
      <name val="ＭＳ Ｐゴシック"/>
      <family val="3"/>
      <charset val="128"/>
      <scheme val="minor"/>
    </font>
    <font>
      <sz val="18"/>
      <color theme="1"/>
      <name val="ＭＳ Ｐゴシック"/>
      <family val="3"/>
      <charset val="128"/>
      <scheme val="minor"/>
    </font>
    <font>
      <sz val="18"/>
      <color theme="1"/>
      <name val="ＭＳ Ｐゴシック"/>
      <family val="3"/>
      <charset val="128"/>
      <scheme val="minor"/>
    </font>
    <font>
      <sz val="12"/>
      <color theme="1"/>
      <name val="ＭＳ Ｐゴシック"/>
      <family val="3"/>
      <charset val="128"/>
      <scheme val="minor"/>
    </font>
    <font>
      <sz val="13"/>
      <color theme="1"/>
      <name val="ＭＳ Ｐゴシック"/>
      <family val="3"/>
      <charset val="128"/>
      <scheme val="minor"/>
    </font>
    <font>
      <b/>
      <sz val="12"/>
      <color theme="1"/>
      <name val="ＭＳ Ｐゴシック"/>
      <family val="3"/>
      <charset val="128"/>
      <scheme val="minor"/>
    </font>
    <font>
      <b/>
      <sz val="18"/>
      <color theme="1"/>
      <name val="ＭＳ Ｐゴシック"/>
      <family val="3"/>
      <charset val="128"/>
      <scheme val="minor"/>
    </font>
    <font>
      <sz val="11"/>
      <color rgb="FFFF0000"/>
      <name val="ＭＳ Ｐゴシック"/>
      <family val="3"/>
      <charset val="128"/>
    </font>
    <font>
      <sz val="12"/>
      <color rgb="FFFF0000"/>
      <name val="ＭＳ Ｐゴシック"/>
      <family val="3"/>
      <charset val="128"/>
      <scheme val="minor"/>
    </font>
    <font>
      <sz val="18"/>
      <color theme="1"/>
      <name val="ＭＳ Ｐゴシック"/>
      <family val="2"/>
      <charset val="128"/>
      <scheme val="minor"/>
    </font>
    <font>
      <sz val="14"/>
      <name val="ＭＳ Ｐゴシック"/>
      <family val="3"/>
      <charset val="128"/>
    </font>
    <font>
      <sz val="12"/>
      <color rgb="FF0000FF"/>
      <name val="ＭＳ Ｐゴシック"/>
      <family val="3"/>
      <charset val="128"/>
      <scheme val="minor"/>
    </font>
    <font>
      <sz val="12"/>
      <color theme="0"/>
      <name val="ＭＳ Ｐゴシック"/>
      <family val="3"/>
      <charset val="128"/>
      <scheme val="minor"/>
    </font>
    <font>
      <u/>
      <sz val="12"/>
      <color rgb="FFFF0000"/>
      <name val="ＭＳ Ｐゴシック"/>
      <family val="3"/>
      <charset val="128"/>
      <scheme val="minor"/>
    </font>
    <font>
      <sz val="11"/>
      <color rgb="FF000000"/>
      <name val="ＭＳ Ｐゴシック"/>
      <family val="3"/>
      <charset val="128"/>
      <scheme val="minor"/>
    </font>
    <font>
      <sz val="9"/>
      <color theme="0"/>
      <name val="Meiryo UI"/>
      <family val="3"/>
      <charset val="128"/>
    </font>
  </fonts>
  <fills count="14">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CC99FF"/>
        <bgColor indexed="64"/>
      </patternFill>
    </fill>
    <fill>
      <patternFill patternType="solid">
        <fgColor rgb="FFFEF0CE"/>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0000"/>
        <bgColor indexed="64"/>
      </patternFill>
    </fill>
    <fill>
      <patternFill patternType="solid">
        <fgColor rgb="FF7030A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5">
    <xf numFmtId="0" fontId="0" fillId="0" borderId="0">
      <alignment vertical="center"/>
    </xf>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0" fontId="5" fillId="0" borderId="0" applyNumberFormat="0" applyFill="0" applyBorder="0" applyAlignment="0" applyProtection="0">
      <alignment vertical="center"/>
    </xf>
    <xf numFmtId="0" fontId="21" fillId="0" borderId="0">
      <alignment vertical="center"/>
    </xf>
  </cellStyleXfs>
  <cellXfs count="217">
    <xf numFmtId="0" fontId="0" fillId="0" borderId="0" xfId="0">
      <alignment vertical="center"/>
    </xf>
    <xf numFmtId="0" fontId="4" fillId="0" borderId="0" xfId="0" applyFont="1">
      <alignment vertical="center"/>
    </xf>
    <xf numFmtId="0" fontId="0" fillId="2" borderId="1" xfId="0" applyFill="1" applyBorder="1">
      <alignment vertical="center"/>
    </xf>
    <xf numFmtId="0" fontId="0" fillId="0" borderId="0" xfId="0" quotePrefix="1">
      <alignment vertical="center"/>
    </xf>
    <xf numFmtId="0" fontId="0" fillId="0" borderId="1" xfId="0" applyBorder="1">
      <alignment vertical="center"/>
    </xf>
    <xf numFmtId="0" fontId="0" fillId="4" borderId="1" xfId="0" applyFill="1" applyBorder="1">
      <alignment vertical="center"/>
    </xf>
    <xf numFmtId="38" fontId="0" fillId="0" borderId="0" xfId="1" applyFont="1">
      <alignment vertical="center"/>
    </xf>
    <xf numFmtId="0" fontId="0" fillId="0" borderId="1" xfId="0" applyBorder="1" applyAlignment="1">
      <alignment horizontal="left" vertical="center"/>
    </xf>
    <xf numFmtId="38" fontId="0" fillId="0" borderId="1" xfId="1" applyFont="1" applyBorder="1">
      <alignment vertical="center"/>
    </xf>
    <xf numFmtId="0" fontId="5" fillId="0" borderId="1" xfId="3" applyBorder="1">
      <alignment vertical="center"/>
    </xf>
    <xf numFmtId="0" fontId="0" fillId="3" borderId="1" xfId="0" applyFill="1" applyBorder="1">
      <alignment vertical="center"/>
    </xf>
    <xf numFmtId="0" fontId="0" fillId="0" borderId="1" xfId="0" applyFill="1" applyBorder="1">
      <alignment vertical="center"/>
    </xf>
    <xf numFmtId="38" fontId="0" fillId="0" borderId="1" xfId="0" applyNumberFormat="1" applyBorder="1">
      <alignment vertical="center"/>
    </xf>
    <xf numFmtId="0" fontId="0" fillId="6" borderId="1" xfId="0" applyFill="1" applyBorder="1">
      <alignment vertical="center"/>
    </xf>
    <xf numFmtId="38" fontId="0" fillId="6" borderId="1" xfId="1" applyFont="1" applyFill="1" applyBorder="1">
      <alignment vertical="center"/>
    </xf>
    <xf numFmtId="0" fontId="5" fillId="6" borderId="1" xfId="3" applyFill="1" applyBorder="1">
      <alignment vertical="center"/>
    </xf>
    <xf numFmtId="0" fontId="3" fillId="6" borderId="1" xfId="0" applyFont="1" applyFill="1" applyBorder="1">
      <alignment vertical="center"/>
    </xf>
    <xf numFmtId="0" fontId="6" fillId="6" borderId="1" xfId="0" applyFont="1" applyFill="1" applyBorder="1">
      <alignment vertical="center"/>
    </xf>
    <xf numFmtId="38" fontId="6" fillId="6" borderId="1" xfId="1" applyFont="1" applyFill="1" applyBorder="1">
      <alignment vertical="center"/>
    </xf>
    <xf numFmtId="0" fontId="7" fillId="6" borderId="1" xfId="3" applyFont="1" applyFill="1" applyBorder="1">
      <alignment vertical="center"/>
    </xf>
    <xf numFmtId="9" fontId="0" fillId="0" borderId="1" xfId="2" applyFont="1" applyBorder="1">
      <alignment vertical="center"/>
    </xf>
    <xf numFmtId="38" fontId="0" fillId="0" borderId="1" xfId="1" applyNumberFormat="1" applyFont="1" applyBorder="1">
      <alignment vertical="center"/>
    </xf>
    <xf numFmtId="0" fontId="8" fillId="5" borderId="1" xfId="0" applyFont="1" applyFill="1" applyBorder="1">
      <alignment vertical="center"/>
    </xf>
    <xf numFmtId="0" fontId="0" fillId="7" borderId="1" xfId="0" applyFill="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9" fillId="0" borderId="0" xfId="0" applyFont="1">
      <alignment vertical="center"/>
    </xf>
    <xf numFmtId="0" fontId="0" fillId="3" borderId="1" xfId="0" applyFill="1" applyBorder="1" applyAlignment="1">
      <alignment horizontal="left" vertical="center"/>
    </xf>
    <xf numFmtId="0" fontId="0" fillId="0" borderId="0" xfId="0" quotePrefix="1" applyAlignment="1">
      <alignment horizontal="right" vertical="center"/>
    </xf>
    <xf numFmtId="0" fontId="8" fillId="6" borderId="1" xfId="0" applyFont="1" applyFill="1" applyBorder="1">
      <alignment vertical="center"/>
    </xf>
    <xf numFmtId="0" fontId="10" fillId="6" borderId="1" xfId="0" applyFont="1" applyFill="1" applyBorder="1">
      <alignment vertical="center"/>
    </xf>
    <xf numFmtId="38" fontId="10" fillId="6" borderId="1" xfId="1" applyFont="1" applyFill="1" applyBorder="1">
      <alignment vertical="center"/>
    </xf>
    <xf numFmtId="0" fontId="11" fillId="6" borderId="1" xfId="3" applyFont="1" applyFill="1" applyBorder="1">
      <alignment vertical="center"/>
    </xf>
    <xf numFmtId="0" fontId="13" fillId="0" borderId="0" xfId="0" applyFont="1" applyFill="1" applyBorder="1" applyAlignment="1">
      <alignment horizontal="left"/>
    </xf>
    <xf numFmtId="0" fontId="0" fillId="0" borderId="2" xfId="0" applyBorder="1" applyAlignment="1"/>
    <xf numFmtId="0" fontId="0" fillId="0" borderId="3" xfId="0" applyBorder="1" applyAlignment="1"/>
    <xf numFmtId="38" fontId="0" fillId="0" borderId="3" xfId="1" applyFont="1" applyBorder="1">
      <alignment vertical="center"/>
    </xf>
    <xf numFmtId="0" fontId="0" fillId="0" borderId="5" xfId="0" applyBorder="1" applyAlignment="1"/>
    <xf numFmtId="38" fontId="0" fillId="0" borderId="0" xfId="1" applyFont="1" applyBorder="1">
      <alignment vertical="center"/>
    </xf>
    <xf numFmtId="0" fontId="13" fillId="0" borderId="0" xfId="0" applyFont="1" applyBorder="1" applyAlignment="1">
      <alignment horizontal="left"/>
    </xf>
    <xf numFmtId="38" fontId="0" fillId="0" borderId="8" xfId="1" applyFont="1" applyBorder="1">
      <alignment vertical="center"/>
    </xf>
    <xf numFmtId="0" fontId="3" fillId="0" borderId="0" xfId="0" applyFont="1">
      <alignment vertical="center"/>
    </xf>
    <xf numFmtId="38" fontId="0" fillId="0" borderId="0" xfId="0" applyNumberFormat="1" applyBorder="1">
      <alignment vertical="center"/>
    </xf>
    <xf numFmtId="0" fontId="0" fillId="0" borderId="0" xfId="0" applyBorder="1" applyAlignment="1">
      <alignment horizontal="left" vertical="center"/>
    </xf>
    <xf numFmtId="0" fontId="8" fillId="0" borderId="1" xfId="0" applyFont="1" applyFill="1" applyBorder="1">
      <alignment vertical="center"/>
    </xf>
    <xf numFmtId="0" fontId="0" fillId="3" borderId="10" xfId="0" applyFill="1" applyBorder="1">
      <alignment vertical="center"/>
    </xf>
    <xf numFmtId="0" fontId="0" fillId="0" borderId="10" xfId="0" applyBorder="1">
      <alignment vertical="center"/>
    </xf>
    <xf numFmtId="0" fontId="0" fillId="6" borderId="10" xfId="0" applyFill="1" applyBorder="1">
      <alignment vertical="center"/>
    </xf>
    <xf numFmtId="0" fontId="6" fillId="6" borderId="10" xfId="0" applyFont="1" applyFill="1" applyBorder="1">
      <alignment vertical="center"/>
    </xf>
    <xf numFmtId="0" fontId="10" fillId="6" borderId="10" xfId="0" applyFont="1" applyFill="1" applyBorder="1">
      <alignment vertical="center"/>
    </xf>
    <xf numFmtId="0" fontId="0" fillId="3" borderId="11" xfId="0" applyFill="1" applyBorder="1">
      <alignment vertical="center"/>
    </xf>
    <xf numFmtId="0" fontId="0" fillId="0" borderId="11" xfId="0" applyBorder="1">
      <alignment vertical="center"/>
    </xf>
    <xf numFmtId="0" fontId="0" fillId="6" borderId="11" xfId="0" applyFill="1" applyBorder="1">
      <alignment vertical="center"/>
    </xf>
    <xf numFmtId="0" fontId="6" fillId="6" borderId="11" xfId="0" applyFont="1" applyFill="1" applyBorder="1">
      <alignment vertical="center"/>
    </xf>
    <xf numFmtId="0" fontId="10" fillId="6" borderId="11" xfId="0" applyFont="1" applyFill="1" applyBorder="1">
      <alignment vertical="center"/>
    </xf>
    <xf numFmtId="38" fontId="3" fillId="6" borderId="1" xfId="1" applyFont="1" applyFill="1" applyBorder="1">
      <alignment vertical="center"/>
    </xf>
    <xf numFmtId="0" fontId="14" fillId="0" borderId="0" xfId="0" applyFont="1">
      <alignment vertical="center"/>
    </xf>
    <xf numFmtId="176" fontId="8" fillId="0" borderId="1" xfId="3" applyNumberFormat="1" applyFont="1" applyBorder="1">
      <alignment vertical="center"/>
    </xf>
    <xf numFmtId="176" fontId="8" fillId="6" borderId="1" xfId="3" applyNumberFormat="1" applyFont="1" applyFill="1" applyBorder="1">
      <alignment vertical="center"/>
    </xf>
    <xf numFmtId="176" fontId="8" fillId="6" borderId="1" xfId="0" applyNumberFormat="1" applyFont="1" applyFill="1" applyBorder="1">
      <alignment vertical="center"/>
    </xf>
    <xf numFmtId="176" fontId="14" fillId="0" borderId="1" xfId="0" applyNumberFormat="1" applyFont="1" applyBorder="1">
      <alignment vertical="center"/>
    </xf>
    <xf numFmtId="177" fontId="14" fillId="0" borderId="1" xfId="0" applyNumberFormat="1" applyFont="1" applyBorder="1">
      <alignment vertical="center"/>
    </xf>
    <xf numFmtId="0" fontId="0" fillId="0" borderId="0" xfId="0" applyAlignment="1">
      <alignment horizontal="right" vertical="center"/>
    </xf>
    <xf numFmtId="0" fontId="0" fillId="0" borderId="0" xfId="0" applyFill="1" applyBorder="1" applyAlignment="1">
      <alignment horizontal="right" vertical="center"/>
    </xf>
    <xf numFmtId="178" fontId="0" fillId="8" borderId="1" xfId="0" applyNumberFormat="1" applyFill="1" applyBorder="1">
      <alignment vertical="center"/>
    </xf>
    <xf numFmtId="180" fontId="14" fillId="0" borderId="0" xfId="0" applyNumberFormat="1" applyFont="1" applyBorder="1">
      <alignment vertical="center"/>
    </xf>
    <xf numFmtId="180" fontId="14" fillId="0" borderId="1" xfId="0" applyNumberFormat="1" applyFont="1" applyBorder="1">
      <alignment vertical="center"/>
    </xf>
    <xf numFmtId="179" fontId="14" fillId="8" borderId="1" xfId="0" applyNumberFormat="1" applyFont="1" applyFill="1" applyBorder="1">
      <alignment vertical="center"/>
    </xf>
    <xf numFmtId="38" fontId="8" fillId="0" borderId="0" xfId="0" applyNumberFormat="1" applyFont="1" applyFill="1" applyBorder="1">
      <alignment vertical="center"/>
    </xf>
    <xf numFmtId="0" fontId="5" fillId="0" borderId="1" xfId="3" applyFill="1" applyBorder="1">
      <alignment vertical="center"/>
    </xf>
    <xf numFmtId="176" fontId="8" fillId="0" borderId="1" xfId="0" applyNumberFormat="1" applyFont="1" applyFill="1" applyBorder="1">
      <alignment vertical="center"/>
    </xf>
    <xf numFmtId="0" fontId="5" fillId="0" borderId="0" xfId="3" applyBorder="1">
      <alignment vertical="center"/>
    </xf>
    <xf numFmtId="49" fontId="16" fillId="0" borderId="0" xfId="0" applyNumberFormat="1" applyFont="1">
      <alignment vertical="center"/>
    </xf>
    <xf numFmtId="0" fontId="17" fillId="0" borderId="0" xfId="0" applyFont="1">
      <alignment vertical="center"/>
    </xf>
    <xf numFmtId="0" fontId="16" fillId="0" borderId="8" xfId="0" applyFont="1" applyBorder="1">
      <alignment vertical="center"/>
    </xf>
    <xf numFmtId="0" fontId="17" fillId="0" borderId="8" xfId="0" applyFont="1" applyBorder="1">
      <alignment vertical="center"/>
    </xf>
    <xf numFmtId="0" fontId="18" fillId="0" borderId="0" xfId="0" applyFont="1">
      <alignment vertical="center"/>
    </xf>
    <xf numFmtId="0" fontId="17" fillId="0" borderId="0" xfId="0" applyFont="1" applyAlignment="1">
      <alignment horizontal="right" vertical="center"/>
    </xf>
    <xf numFmtId="0" fontId="16" fillId="0" borderId="0" xfId="0" applyFo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quotePrefix="1" applyFont="1" applyAlignment="1">
      <alignment horizontal="right" vertical="center"/>
    </xf>
    <xf numFmtId="0" fontId="19" fillId="0" borderId="0" xfId="0" applyFont="1">
      <alignment vertical="center"/>
    </xf>
    <xf numFmtId="5" fontId="19" fillId="0" borderId="0" xfId="0" applyNumberFormat="1" applyFont="1" applyAlignment="1">
      <alignment horizontal="left" vertical="center"/>
    </xf>
    <xf numFmtId="5" fontId="19" fillId="0" borderId="0" xfId="0" applyNumberFormat="1" applyFont="1" applyAlignment="1">
      <alignment vertical="center"/>
    </xf>
    <xf numFmtId="5" fontId="16" fillId="0" borderId="0" xfId="0" applyNumberFormat="1" applyFont="1" applyAlignment="1">
      <alignment horizontal="left" vertical="center"/>
    </xf>
    <xf numFmtId="0" fontId="18" fillId="0" borderId="12" xfId="0" applyFont="1" applyBorder="1">
      <alignment vertical="center"/>
    </xf>
    <xf numFmtId="0" fontId="18" fillId="0" borderId="12" xfId="0" applyFont="1" applyBorder="1" applyAlignment="1">
      <alignment horizontal="right" vertical="center"/>
    </xf>
    <xf numFmtId="0" fontId="18" fillId="10" borderId="13" xfId="0" applyFont="1" applyFill="1" applyBorder="1" applyAlignment="1">
      <alignment horizontal="center" vertical="center"/>
    </xf>
    <xf numFmtId="0" fontId="18" fillId="10" borderId="7" xfId="0" applyFont="1" applyFill="1" applyBorder="1" applyAlignment="1">
      <alignment horizontal="center" vertical="center"/>
    </xf>
    <xf numFmtId="0" fontId="18" fillId="0" borderId="1" xfId="0" applyFont="1" applyBorder="1" applyAlignment="1">
      <alignment horizontal="center" vertical="center"/>
    </xf>
    <xf numFmtId="38" fontId="18" fillId="0" borderId="1" xfId="1" applyFont="1" applyBorder="1">
      <alignment vertical="center"/>
    </xf>
    <xf numFmtId="38" fontId="18" fillId="0" borderId="1" xfId="1" applyFont="1" applyBorder="1" applyAlignment="1">
      <alignment horizontal="right" vertical="center"/>
    </xf>
    <xf numFmtId="0" fontId="18" fillId="0" borderId="0" xfId="0" applyFont="1" applyBorder="1" applyAlignment="1">
      <alignment horizontal="left" vertical="center"/>
    </xf>
    <xf numFmtId="0" fontId="18" fillId="0" borderId="0" xfId="0" applyFont="1" applyBorder="1" applyAlignment="1">
      <alignment horizontal="center" vertical="center"/>
    </xf>
    <xf numFmtId="0" fontId="18" fillId="0" borderId="0" xfId="0" applyFont="1" applyBorder="1">
      <alignment vertical="center"/>
    </xf>
    <xf numFmtId="0" fontId="18" fillId="10" borderId="10" xfId="0" applyFont="1" applyFill="1" applyBorder="1">
      <alignment vertical="center"/>
    </xf>
    <xf numFmtId="3" fontId="18" fillId="0" borderId="1" xfId="0" applyNumberFormat="1" applyFont="1" applyBorder="1">
      <alignment vertical="center"/>
    </xf>
    <xf numFmtId="0" fontId="16" fillId="0" borderId="0" xfId="0" applyFont="1" applyBorder="1">
      <alignment vertical="center"/>
    </xf>
    <xf numFmtId="0" fontId="20" fillId="0" borderId="0" xfId="0" applyFont="1">
      <alignment vertical="center"/>
    </xf>
    <xf numFmtId="0" fontId="18" fillId="0" borderId="0" xfId="0" applyFont="1" applyBorder="1" applyAlignment="1">
      <alignment horizontal="right" vertical="center"/>
    </xf>
    <xf numFmtId="0" fontId="21" fillId="0" borderId="0" xfId="4">
      <alignment vertical="center"/>
    </xf>
    <xf numFmtId="0" fontId="21" fillId="0" borderId="0" xfId="4" applyAlignment="1">
      <alignment horizontal="center" vertical="center"/>
    </xf>
    <xf numFmtId="0" fontId="0" fillId="0" borderId="0" xfId="0" applyAlignment="1">
      <alignment horizontal="left" vertical="center"/>
    </xf>
    <xf numFmtId="38" fontId="0" fillId="0" borderId="0" xfId="0" applyNumberFormat="1">
      <alignment vertical="center"/>
    </xf>
    <xf numFmtId="0" fontId="18" fillId="0" borderId="14" xfId="0" applyFont="1" applyBorder="1" applyAlignment="1">
      <alignment horizontal="center" vertical="center"/>
    </xf>
    <xf numFmtId="38" fontId="18" fillId="0" borderId="1" xfId="1" applyFont="1" applyFill="1" applyBorder="1">
      <alignment vertical="center"/>
    </xf>
    <xf numFmtId="0" fontId="0" fillId="3" borderId="14" xfId="0" applyFill="1" applyBorder="1">
      <alignment vertical="center"/>
    </xf>
    <xf numFmtId="38" fontId="0" fillId="0" borderId="14" xfId="1" applyFont="1" applyBorder="1">
      <alignment vertical="center"/>
    </xf>
    <xf numFmtId="38" fontId="0" fillId="6" borderId="14" xfId="1" applyFont="1" applyFill="1" applyBorder="1">
      <alignment vertical="center"/>
    </xf>
    <xf numFmtId="38" fontId="3" fillId="6" borderId="14" xfId="1" applyFont="1" applyFill="1" applyBorder="1">
      <alignment vertical="center"/>
    </xf>
    <xf numFmtId="38" fontId="6" fillId="6" borderId="14" xfId="1" applyFont="1" applyFill="1" applyBorder="1">
      <alignment vertical="center"/>
    </xf>
    <xf numFmtId="38" fontId="10" fillId="6" borderId="14" xfId="1" applyFont="1" applyFill="1" applyBorder="1">
      <alignment vertical="center"/>
    </xf>
    <xf numFmtId="0" fontId="0" fillId="3" borderId="15" xfId="0" applyFill="1" applyBorder="1">
      <alignment vertical="center"/>
    </xf>
    <xf numFmtId="0" fontId="0" fillId="0" borderId="15" xfId="0" applyBorder="1">
      <alignment vertical="center"/>
    </xf>
    <xf numFmtId="0" fontId="0" fillId="6" borderId="15" xfId="0" applyFill="1" applyBorder="1">
      <alignment vertical="center"/>
    </xf>
    <xf numFmtId="0" fontId="6" fillId="6" borderId="15" xfId="0" applyFont="1" applyFill="1" applyBorder="1">
      <alignment vertical="center"/>
    </xf>
    <xf numFmtId="0" fontId="10" fillId="6" borderId="15" xfId="0" applyFont="1" applyFill="1" applyBorder="1">
      <alignment vertical="center"/>
    </xf>
    <xf numFmtId="9" fontId="18" fillId="0" borderId="0" xfId="0" applyNumberFormat="1" applyFont="1" applyBorder="1" applyAlignment="1">
      <alignment horizontal="left" vertical="center"/>
    </xf>
    <xf numFmtId="38" fontId="18" fillId="0" borderId="1" xfId="1" applyFont="1" applyFill="1" applyBorder="1" applyAlignment="1">
      <alignment horizontal="right" vertical="center"/>
    </xf>
    <xf numFmtId="38" fontId="0" fillId="8" borderId="1" xfId="1" applyFont="1" applyFill="1" applyBorder="1">
      <alignment vertical="center"/>
    </xf>
    <xf numFmtId="0" fontId="21" fillId="0" borderId="0" xfId="4" quotePrefix="1">
      <alignment vertical="center"/>
    </xf>
    <xf numFmtId="20" fontId="21" fillId="0" borderId="0" xfId="4" applyNumberFormat="1">
      <alignment vertical="center"/>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5" fillId="0" borderId="0" xfId="0" applyFont="1" applyAlignment="1">
      <alignment horizontal="left" vertical="center" indent="1"/>
    </xf>
    <xf numFmtId="0" fontId="26" fillId="0" borderId="0" xfId="0" applyFont="1" applyAlignment="1">
      <alignment horizontal="left" vertical="center" indent="1"/>
    </xf>
    <xf numFmtId="0" fontId="30" fillId="0" borderId="0" xfId="0" applyFont="1" applyAlignment="1">
      <alignment horizontal="left" vertical="center" indent="1"/>
    </xf>
    <xf numFmtId="0" fontId="25" fillId="0" borderId="0" xfId="0" applyFont="1" applyAlignment="1">
      <alignment horizontal="left" vertical="center" indent="2"/>
    </xf>
    <xf numFmtId="0" fontId="29" fillId="0" borderId="0" xfId="0" applyFont="1" applyAlignment="1">
      <alignment horizontal="left" vertical="center" indent="1"/>
    </xf>
    <xf numFmtId="0" fontId="25" fillId="0" borderId="0" xfId="0" applyFont="1" applyAlignment="1">
      <alignment horizontal="left" vertical="center" indent="5"/>
    </xf>
    <xf numFmtId="0" fontId="25" fillId="0" borderId="0" xfId="0" applyFont="1" applyAlignment="1">
      <alignment horizontal="left" vertical="center" indent="6"/>
    </xf>
    <xf numFmtId="0" fontId="25" fillId="0" borderId="0" xfId="0" applyFont="1" applyAlignment="1">
      <alignment horizontal="left" vertical="center" indent="8"/>
    </xf>
    <xf numFmtId="0" fontId="28" fillId="0" borderId="0" xfId="0" applyFont="1" applyAlignment="1">
      <alignment horizontal="left" vertical="center"/>
    </xf>
    <xf numFmtId="0" fontId="31" fillId="0" borderId="0" xfId="0" applyFont="1" applyAlignment="1">
      <alignment horizontal="left" vertical="center" indent="1"/>
    </xf>
    <xf numFmtId="0" fontId="25" fillId="0" borderId="16" xfId="0" applyFont="1" applyBorder="1">
      <alignment vertical="center"/>
    </xf>
    <xf numFmtId="0" fontId="25" fillId="0" borderId="13" xfId="0" applyFont="1" applyBorder="1">
      <alignment vertical="center"/>
    </xf>
    <xf numFmtId="0" fontId="25" fillId="0" borderId="5" xfId="0" applyFont="1" applyBorder="1">
      <alignment vertical="center"/>
    </xf>
    <xf numFmtId="0" fontId="25" fillId="0" borderId="7" xfId="0" applyFont="1" applyBorder="1">
      <alignment vertical="center"/>
    </xf>
    <xf numFmtId="0" fontId="25" fillId="11" borderId="14" xfId="0" applyFont="1" applyFill="1" applyBorder="1" applyAlignment="1">
      <alignment horizontal="center" vertical="center"/>
    </xf>
    <xf numFmtId="0" fontId="25" fillId="11" borderId="1" xfId="0" applyFont="1" applyFill="1" applyBorder="1" applyAlignment="1">
      <alignment horizontal="center" vertical="center"/>
    </xf>
    <xf numFmtId="0" fontId="32" fillId="0" borderId="0" xfId="0" applyFont="1">
      <alignment vertical="center"/>
    </xf>
    <xf numFmtId="0" fontId="25" fillId="0" borderId="1" xfId="0" applyFont="1" applyBorder="1" applyAlignment="1">
      <alignment horizontal="center" vertical="center"/>
    </xf>
    <xf numFmtId="0" fontId="25" fillId="0" borderId="5" xfId="0" applyFont="1" applyFill="1" applyBorder="1" applyAlignment="1">
      <alignment horizontal="left" vertical="center"/>
    </xf>
    <xf numFmtId="0" fontId="25" fillId="0" borderId="16" xfId="0" applyFont="1" applyFill="1" applyBorder="1" applyAlignment="1">
      <alignment horizontal="left" vertical="center"/>
    </xf>
    <xf numFmtId="0" fontId="25" fillId="0" borderId="5" xfId="0" applyFont="1" applyFill="1" applyBorder="1" applyAlignment="1">
      <alignment horizontal="left" vertical="center" indent="1"/>
    </xf>
    <xf numFmtId="0" fontId="25" fillId="0" borderId="5" xfId="0" applyFont="1" applyFill="1" applyBorder="1" applyAlignment="1">
      <alignment horizontal="left" vertical="center" indent="2"/>
    </xf>
    <xf numFmtId="0" fontId="25" fillId="0" borderId="16" xfId="0" applyFont="1" applyFill="1" applyBorder="1" applyAlignment="1">
      <alignment horizontal="left" vertical="center" indent="1"/>
    </xf>
    <xf numFmtId="0" fontId="25" fillId="0" borderId="7" xfId="0" applyFont="1" applyBorder="1" applyAlignment="1">
      <alignment horizontal="center" vertical="center"/>
    </xf>
    <xf numFmtId="0" fontId="25" fillId="0" borderId="0" xfId="0" applyFont="1" applyBorder="1">
      <alignment vertical="center"/>
    </xf>
    <xf numFmtId="0" fontId="25" fillId="0" borderId="7" xfId="0" applyFont="1" applyFill="1" applyBorder="1" applyAlignment="1">
      <alignment horizontal="left" vertical="center" indent="2"/>
    </xf>
    <xf numFmtId="0" fontId="25" fillId="0" borderId="13" xfId="0" applyFont="1" applyFill="1" applyBorder="1" applyAlignment="1">
      <alignment horizontal="left" vertical="center"/>
    </xf>
    <xf numFmtId="0" fontId="22" fillId="0" borderId="0" xfId="0" applyFont="1" applyBorder="1" applyAlignment="1">
      <alignment horizontal="center" vertical="center"/>
    </xf>
    <xf numFmtId="0" fontId="0" fillId="3" borderId="0" xfId="0" applyFill="1" applyBorder="1">
      <alignment vertical="center"/>
    </xf>
    <xf numFmtId="38" fontId="0" fillId="8" borderId="0" xfId="1" applyFont="1" applyFill="1" applyBorder="1">
      <alignment vertical="center"/>
    </xf>
    <xf numFmtId="38" fontId="0" fillId="6" borderId="0" xfId="1" applyFont="1" applyFill="1" applyBorder="1">
      <alignment vertical="center"/>
    </xf>
    <xf numFmtId="38" fontId="3" fillId="6" borderId="0" xfId="1" applyFont="1" applyFill="1" applyBorder="1">
      <alignment vertical="center"/>
    </xf>
    <xf numFmtId="38" fontId="6" fillId="6" borderId="0" xfId="1" applyFont="1" applyFill="1" applyBorder="1">
      <alignment vertical="center"/>
    </xf>
    <xf numFmtId="38" fontId="10" fillId="6" borderId="0" xfId="1" applyFont="1" applyFill="1" applyBorder="1">
      <alignment vertical="center"/>
    </xf>
    <xf numFmtId="0" fontId="33" fillId="6" borderId="5" xfId="0" applyFont="1" applyFill="1" applyBorder="1" applyAlignment="1">
      <alignment horizontal="left"/>
    </xf>
    <xf numFmtId="0" fontId="35" fillId="0" borderId="0" xfId="0" applyFont="1">
      <alignment vertical="center"/>
    </xf>
    <xf numFmtId="0" fontId="36" fillId="0" borderId="0" xfId="4" quotePrefix="1" applyFont="1">
      <alignment vertical="center"/>
    </xf>
    <xf numFmtId="0" fontId="0" fillId="0" borderId="0" xfId="0" applyAlignment="1">
      <alignment horizontal="left" vertical="center" indent="1"/>
    </xf>
    <xf numFmtId="0" fontId="25" fillId="0" borderId="0" xfId="0" applyFont="1" applyFill="1" applyBorder="1">
      <alignment vertical="center"/>
    </xf>
    <xf numFmtId="0" fontId="32" fillId="0" borderId="0" xfId="0" applyFont="1" applyFill="1" applyBorder="1">
      <alignment vertical="center"/>
    </xf>
    <xf numFmtId="0" fontId="25" fillId="0" borderId="5" xfId="0" applyFont="1" applyFill="1" applyBorder="1" applyAlignment="1">
      <alignment horizontal="center" vertical="center"/>
    </xf>
    <xf numFmtId="0" fontId="25" fillId="0" borderId="5" xfId="0" applyFont="1" applyFill="1" applyBorder="1">
      <alignment vertical="center"/>
    </xf>
    <xf numFmtId="0" fontId="25" fillId="0" borderId="0" xfId="0" applyFont="1" applyFill="1" applyBorder="1" applyAlignment="1">
      <alignment horizontal="left" vertical="center" indent="8"/>
    </xf>
    <xf numFmtId="0" fontId="25" fillId="0" borderId="0" xfId="0" applyFont="1" applyFill="1" applyBorder="1" applyAlignment="1">
      <alignment horizontal="left" vertical="center" indent="2"/>
    </xf>
    <xf numFmtId="0" fontId="26" fillId="0" borderId="0" xfId="0" applyFont="1" applyFill="1" applyBorder="1" applyAlignment="1">
      <alignment horizontal="left" vertical="center" indent="1"/>
    </xf>
    <xf numFmtId="0" fontId="25" fillId="0" borderId="0" xfId="0" applyFont="1" applyFill="1" applyBorder="1" applyAlignment="1">
      <alignment horizontal="left" vertical="center" indent="1"/>
    </xf>
    <xf numFmtId="0" fontId="29" fillId="0" borderId="0" xfId="0" applyFont="1" applyFill="1" applyBorder="1" applyAlignment="1">
      <alignment horizontal="left" vertical="center" indent="1"/>
    </xf>
    <xf numFmtId="0" fontId="28" fillId="0" borderId="0" xfId="0" applyFont="1" applyFill="1" applyBorder="1" applyAlignment="1">
      <alignment horizontal="left" vertical="center"/>
    </xf>
    <xf numFmtId="0" fontId="31" fillId="0" borderId="0" xfId="0" applyFont="1" applyFill="1" applyBorder="1" applyAlignment="1">
      <alignment horizontal="left" vertical="center" indent="1"/>
    </xf>
    <xf numFmtId="0" fontId="26" fillId="0" borderId="0" xfId="0" applyFont="1" applyFill="1" applyBorder="1">
      <alignment vertical="center"/>
    </xf>
    <xf numFmtId="0" fontId="25" fillId="0" borderId="0" xfId="0" applyFont="1" applyBorder="1" applyAlignment="1">
      <alignment horizontal="left" vertical="center"/>
    </xf>
    <xf numFmtId="0" fontId="25" fillId="3" borderId="14" xfId="0" applyFont="1" applyFill="1" applyBorder="1" applyAlignment="1">
      <alignment horizontal="center" vertical="center"/>
    </xf>
    <xf numFmtId="0" fontId="25" fillId="0" borderId="13" xfId="0" applyFont="1" applyBorder="1" applyAlignment="1">
      <alignment horizontal="left" vertical="center" indent="1"/>
    </xf>
    <xf numFmtId="0" fontId="37" fillId="0" borderId="5" xfId="0" applyFont="1" applyFill="1" applyBorder="1" applyAlignment="1">
      <alignment horizontal="left" vertical="center" indent="1"/>
    </xf>
    <xf numFmtId="0" fontId="34" fillId="0" borderId="5" xfId="0" applyFont="1" applyFill="1" applyBorder="1" applyAlignment="1">
      <alignment horizontal="left" vertical="center" indent="1"/>
    </xf>
    <xf numFmtId="0" fontId="37" fillId="0" borderId="16" xfId="0" applyFont="1" applyFill="1" applyBorder="1" applyAlignment="1">
      <alignment horizontal="left" vertical="center" indent="1"/>
    </xf>
    <xf numFmtId="0" fontId="39" fillId="0" borderId="0" xfId="0" applyFont="1" applyBorder="1" applyAlignment="1">
      <alignment horizontal="left" vertical="center"/>
    </xf>
    <xf numFmtId="0" fontId="40" fillId="0" borderId="0" xfId="0" applyFont="1" applyAlignment="1">
      <alignment horizontal="left" vertical="center" indent="2"/>
    </xf>
    <xf numFmtId="14" fontId="0" fillId="0" borderId="0" xfId="0" applyNumberFormat="1" applyAlignment="1">
      <alignment horizontal="left" vertical="center"/>
    </xf>
    <xf numFmtId="3" fontId="0" fillId="0" borderId="0" xfId="0" applyNumberFormat="1">
      <alignment vertical="center"/>
    </xf>
    <xf numFmtId="14" fontId="0" fillId="0" borderId="0" xfId="0" applyNumberForma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25" fillId="0" borderId="0" xfId="0" applyFont="1" applyAlignment="1">
      <alignment horizontal="left" vertical="center" wrapText="1"/>
    </xf>
    <xf numFmtId="0" fontId="25" fillId="0" borderId="1" xfId="0" applyFont="1" applyBorder="1" applyAlignment="1">
      <alignment horizontal="center" vertical="center"/>
    </xf>
    <xf numFmtId="0" fontId="22" fillId="0" borderId="8" xfId="0" applyFont="1" applyBorder="1" applyAlignment="1">
      <alignment horizontal="center" vertical="center"/>
    </xf>
    <xf numFmtId="0" fontId="38" fillId="12" borderId="0" xfId="0" applyFont="1" applyFill="1" applyAlignment="1">
      <alignment horizontal="center" vertical="center"/>
    </xf>
    <xf numFmtId="0" fontId="18" fillId="0" borderId="10" xfId="0" applyFont="1" applyBorder="1" applyAlignment="1">
      <alignment horizontal="left" vertical="center"/>
    </xf>
    <xf numFmtId="0" fontId="18" fillId="0" borderId="1" xfId="0" applyFont="1" applyBorder="1" applyAlignment="1">
      <alignment horizontal="left" vertical="center"/>
    </xf>
    <xf numFmtId="0" fontId="24" fillId="0" borderId="10" xfId="0" applyFont="1" applyBorder="1" applyAlignment="1">
      <alignment horizontal="left" vertical="center"/>
    </xf>
    <xf numFmtId="0" fontId="24" fillId="0" borderId="1" xfId="0" applyFont="1" applyBorder="1" applyAlignment="1">
      <alignment horizontal="left" vertical="center"/>
    </xf>
    <xf numFmtId="184" fontId="41" fillId="0" borderId="0" xfId="0" applyNumberFormat="1" applyFont="1" applyFill="1" applyAlignment="1">
      <alignment horizontal="right" vertical="center"/>
    </xf>
    <xf numFmtId="0" fontId="16" fillId="0" borderId="8" xfId="0" applyFont="1" applyBorder="1" applyAlignment="1">
      <alignment horizontal="center" vertical="center"/>
    </xf>
    <xf numFmtId="0" fontId="15" fillId="9" borderId="0" xfId="0" applyFont="1" applyFill="1" applyAlignment="1">
      <alignment horizontal="center" vertical="center"/>
    </xf>
    <xf numFmtId="5" fontId="19" fillId="0" borderId="0" xfId="0" applyNumberFormat="1" applyFont="1" applyAlignment="1">
      <alignment horizontal="left" vertical="center"/>
    </xf>
    <xf numFmtId="182" fontId="18" fillId="0" borderId="8" xfId="0" applyNumberFormat="1" applyFont="1" applyBorder="1" applyAlignment="1">
      <alignment horizontal="left" vertical="center"/>
    </xf>
    <xf numFmtId="183" fontId="18" fillId="0" borderId="8" xfId="0" applyNumberFormat="1" applyFont="1" applyBorder="1" applyAlignment="1">
      <alignment horizontal="left" vertical="center"/>
    </xf>
    <xf numFmtId="182" fontId="18" fillId="0" borderId="12" xfId="0" applyNumberFormat="1" applyFont="1" applyBorder="1" applyAlignment="1">
      <alignment horizontal="left" vertical="center"/>
    </xf>
    <xf numFmtId="181" fontId="18" fillId="0" borderId="0" xfId="0" applyNumberFormat="1" applyFont="1" applyAlignment="1">
      <alignment horizontal="right" vertical="center"/>
    </xf>
    <xf numFmtId="0" fontId="18" fillId="10" borderId="9" xfId="0" applyFont="1" applyFill="1" applyBorder="1" applyAlignment="1">
      <alignment horizontal="center" vertical="center"/>
    </xf>
    <xf numFmtId="0" fontId="18" fillId="10" borderId="13" xfId="0" applyFont="1" applyFill="1" applyBorder="1" applyAlignment="1">
      <alignment horizontal="center" vertical="center"/>
    </xf>
    <xf numFmtId="0" fontId="0" fillId="13" borderId="0" xfId="0" applyFill="1">
      <alignment vertical="center"/>
    </xf>
  </cellXfs>
  <cellStyles count="5">
    <cellStyle name="パーセント" xfId="2" builtinId="5"/>
    <cellStyle name="ハイパーリンク" xfId="3" builtinId="8"/>
    <cellStyle name="桁区切り" xfId="1" builtinId="6"/>
    <cellStyle name="標準" xfId="0" builtinId="0"/>
    <cellStyle name="標準 2" xfId="4"/>
  </cellStyles>
  <dxfs count="0"/>
  <tableStyles count="0" defaultTableStyle="TableStyleMedium2" defaultPivotStyle="PivotStyleLight16"/>
  <colors>
    <mruColors>
      <color rgb="FF0000FF"/>
      <color rgb="FFCFCFCF"/>
      <color rgb="FFFEF0CE"/>
      <color rgb="FFFF66FF"/>
      <color rgb="FFCC99FF"/>
      <color rgb="FFFFE6CD"/>
      <color rgb="FFFFCC99"/>
      <color rgb="FFFF477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154610</xdr:rowOff>
    </xdr:from>
    <xdr:to>
      <xdr:col>9</xdr:col>
      <xdr:colOff>421951</xdr:colOff>
      <xdr:row>55</xdr:row>
      <xdr:rowOff>31291</xdr:rowOff>
    </xdr:to>
    <xdr:pic>
      <xdr:nvPicPr>
        <xdr:cNvPr id="3" name="図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10492"/>
        <a:stretch/>
      </xdr:blipFill>
      <xdr:spPr>
        <a:xfrm>
          <a:off x="0" y="673653"/>
          <a:ext cx="5441212" cy="8656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332827</xdr:colOff>
      <xdr:row>28</xdr:row>
      <xdr:rowOff>0</xdr:rowOff>
    </xdr:from>
    <xdr:to>
      <xdr:col>10</xdr:col>
      <xdr:colOff>330200</xdr:colOff>
      <xdr:row>29</xdr:row>
      <xdr:rowOff>0</xdr:rowOff>
    </xdr:to>
    <xdr:sp macro="" textlink="">
      <xdr:nvSpPr>
        <xdr:cNvPr id="76" name="正方形/長方形 75"/>
        <xdr:cNvSpPr/>
      </xdr:nvSpPr>
      <xdr:spPr>
        <a:xfrm>
          <a:off x="3990427" y="4787900"/>
          <a:ext cx="606973" cy="165100"/>
        </a:xfrm>
        <a:prstGeom prst="rect">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変換</a:t>
          </a:r>
          <a:endParaRPr kumimoji="1" lang="en-US" altLang="ja-JP" sz="1100">
            <a:solidFill>
              <a:sysClr val="windowText" lastClr="000000"/>
            </a:solidFill>
          </a:endParaRPr>
        </a:p>
      </xdr:txBody>
    </xdr:sp>
    <xdr:clientData/>
  </xdr:twoCellAnchor>
  <xdr:twoCellAnchor>
    <xdr:from>
      <xdr:col>8</xdr:col>
      <xdr:colOff>0</xdr:colOff>
      <xdr:row>6</xdr:row>
      <xdr:rowOff>0</xdr:rowOff>
    </xdr:from>
    <xdr:to>
      <xdr:col>8</xdr:col>
      <xdr:colOff>606973</xdr:colOff>
      <xdr:row>6</xdr:row>
      <xdr:rowOff>159017</xdr:rowOff>
    </xdr:to>
    <xdr:sp macro="" textlink="">
      <xdr:nvSpPr>
        <xdr:cNvPr id="10" name="正方形/長方形 9"/>
        <xdr:cNvSpPr/>
      </xdr:nvSpPr>
      <xdr:spPr>
        <a:xfrm>
          <a:off x="3048000" y="825500"/>
          <a:ext cx="606973" cy="1590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USB</a:t>
          </a:r>
        </a:p>
      </xdr:txBody>
    </xdr:sp>
    <xdr:clientData/>
  </xdr:twoCellAnchor>
  <xdr:twoCellAnchor>
    <xdr:from>
      <xdr:col>7</xdr:col>
      <xdr:colOff>0</xdr:colOff>
      <xdr:row>5</xdr:row>
      <xdr:rowOff>6083</xdr:rowOff>
    </xdr:from>
    <xdr:to>
      <xdr:col>7</xdr:col>
      <xdr:colOff>606973</xdr:colOff>
      <xdr:row>12</xdr:row>
      <xdr:rowOff>0</xdr:rowOff>
    </xdr:to>
    <xdr:sp macro="" textlink="">
      <xdr:nvSpPr>
        <xdr:cNvPr id="2" name="正方形/長方形 1"/>
        <xdr:cNvSpPr/>
      </xdr:nvSpPr>
      <xdr:spPr>
        <a:xfrm>
          <a:off x="2438400" y="996683"/>
          <a:ext cx="606973" cy="11496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PC</a:t>
          </a:r>
          <a:endParaRPr kumimoji="1" lang="ja-JP" altLang="en-US" sz="1100">
            <a:solidFill>
              <a:sysClr val="windowText" lastClr="000000"/>
            </a:solidFill>
          </a:endParaRPr>
        </a:p>
      </xdr:txBody>
    </xdr:sp>
    <xdr:clientData/>
  </xdr:twoCellAnchor>
  <xdr:twoCellAnchor>
    <xdr:from>
      <xdr:col>12</xdr:col>
      <xdr:colOff>606973</xdr:colOff>
      <xdr:row>5</xdr:row>
      <xdr:rowOff>0</xdr:rowOff>
    </xdr:from>
    <xdr:to>
      <xdr:col>14</xdr:col>
      <xdr:colOff>606973</xdr:colOff>
      <xdr:row>7</xdr:row>
      <xdr:rowOff>159017</xdr:rowOff>
    </xdr:to>
    <xdr:sp macro="" textlink="">
      <xdr:nvSpPr>
        <xdr:cNvPr id="3" name="正方形/長方形 2"/>
        <xdr:cNvSpPr/>
      </xdr:nvSpPr>
      <xdr:spPr>
        <a:xfrm>
          <a:off x="6093373" y="660400"/>
          <a:ext cx="1219200" cy="4892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QR</a:t>
          </a:r>
          <a:r>
            <a:rPr kumimoji="1" lang="ja-JP" altLang="en-US" sz="1100">
              <a:solidFill>
                <a:sysClr val="windowText" lastClr="000000"/>
              </a:solidFill>
            </a:rPr>
            <a:t>リーダー</a:t>
          </a:r>
        </a:p>
      </xdr:txBody>
    </xdr:sp>
    <xdr:clientData/>
  </xdr:twoCellAnchor>
  <xdr:twoCellAnchor>
    <xdr:from>
      <xdr:col>8</xdr:col>
      <xdr:colOff>606973</xdr:colOff>
      <xdr:row>6</xdr:row>
      <xdr:rowOff>79509</xdr:rowOff>
    </xdr:from>
    <xdr:to>
      <xdr:col>12</xdr:col>
      <xdr:colOff>606973</xdr:colOff>
      <xdr:row>6</xdr:row>
      <xdr:rowOff>79509</xdr:rowOff>
    </xdr:to>
    <xdr:cxnSp macro="">
      <xdr:nvCxnSpPr>
        <xdr:cNvPr id="5" name="直線コネクタ 4"/>
        <xdr:cNvCxnSpPr>
          <a:stCxn id="10" idx="3"/>
          <a:endCxn id="3" idx="1"/>
        </xdr:cNvCxnSpPr>
      </xdr:nvCxnSpPr>
      <xdr:spPr>
        <a:xfrm>
          <a:off x="3654973" y="905009"/>
          <a:ext cx="2438400" cy="0"/>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606973</xdr:colOff>
      <xdr:row>9</xdr:row>
      <xdr:rowOff>6083</xdr:rowOff>
    </xdr:from>
    <xdr:to>
      <xdr:col>14</xdr:col>
      <xdr:colOff>606973</xdr:colOff>
      <xdr:row>12</xdr:row>
      <xdr:rowOff>0</xdr:rowOff>
    </xdr:to>
    <xdr:sp macro="" textlink="">
      <xdr:nvSpPr>
        <xdr:cNvPr id="7" name="正方形/長方形 6"/>
        <xdr:cNvSpPr/>
      </xdr:nvSpPr>
      <xdr:spPr>
        <a:xfrm>
          <a:off x="6093373" y="1326883"/>
          <a:ext cx="1219200" cy="489217"/>
        </a:xfrm>
        <a:prstGeom prst="rect">
          <a:avLst/>
        </a:prstGeom>
        <a:solidFill>
          <a:schemeClr val="bg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マイクロメーター</a:t>
          </a:r>
        </a:p>
      </xdr:txBody>
    </xdr:sp>
    <xdr:clientData/>
  </xdr:twoCellAnchor>
  <xdr:twoCellAnchor>
    <xdr:from>
      <xdr:col>10</xdr:col>
      <xdr:colOff>0</xdr:colOff>
      <xdr:row>10</xdr:row>
      <xdr:rowOff>0</xdr:rowOff>
    </xdr:from>
    <xdr:to>
      <xdr:col>11</xdr:col>
      <xdr:colOff>604346</xdr:colOff>
      <xdr:row>11</xdr:row>
      <xdr:rowOff>0</xdr:rowOff>
    </xdr:to>
    <xdr:sp macro="" textlink="">
      <xdr:nvSpPr>
        <xdr:cNvPr id="14" name="正方形/長方形 13"/>
        <xdr:cNvSpPr/>
      </xdr:nvSpPr>
      <xdr:spPr>
        <a:xfrm>
          <a:off x="5764696" y="1656522"/>
          <a:ext cx="1211737" cy="165652"/>
        </a:xfrm>
        <a:prstGeom prst="rect">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専用ケーブル</a:t>
          </a:r>
          <a:endParaRPr kumimoji="1" lang="en-US" altLang="ja-JP" sz="1100">
            <a:solidFill>
              <a:sysClr val="windowText" lastClr="000000"/>
            </a:solidFill>
          </a:endParaRPr>
        </a:p>
      </xdr:txBody>
    </xdr:sp>
    <xdr:clientData/>
  </xdr:twoCellAnchor>
  <xdr:twoCellAnchor>
    <xdr:from>
      <xdr:col>11</xdr:col>
      <xdr:colOff>604346</xdr:colOff>
      <xdr:row>10</xdr:row>
      <xdr:rowOff>82826</xdr:rowOff>
    </xdr:from>
    <xdr:to>
      <xdr:col>12</xdr:col>
      <xdr:colOff>606973</xdr:colOff>
      <xdr:row>10</xdr:row>
      <xdr:rowOff>85868</xdr:rowOff>
    </xdr:to>
    <xdr:cxnSp macro="">
      <xdr:nvCxnSpPr>
        <xdr:cNvPr id="15" name="直線コネクタ 14"/>
        <xdr:cNvCxnSpPr>
          <a:stCxn id="14" idx="3"/>
          <a:endCxn id="7" idx="1"/>
        </xdr:cNvCxnSpPr>
      </xdr:nvCxnSpPr>
      <xdr:spPr>
        <a:xfrm>
          <a:off x="6976433" y="1739348"/>
          <a:ext cx="610018" cy="3042"/>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606973</xdr:colOff>
      <xdr:row>6</xdr:row>
      <xdr:rowOff>79509</xdr:rowOff>
    </xdr:from>
    <xdr:to>
      <xdr:col>10</xdr:col>
      <xdr:colOff>0</xdr:colOff>
      <xdr:row>10</xdr:row>
      <xdr:rowOff>82826</xdr:rowOff>
    </xdr:to>
    <xdr:cxnSp macro="">
      <xdr:nvCxnSpPr>
        <xdr:cNvPr id="29" name="直線コネクタ 28"/>
        <xdr:cNvCxnSpPr>
          <a:stCxn id="10" idx="3"/>
          <a:endCxn id="14" idx="1"/>
        </xdr:cNvCxnSpPr>
      </xdr:nvCxnSpPr>
      <xdr:spPr>
        <a:xfrm>
          <a:off x="5156886" y="1073422"/>
          <a:ext cx="607810" cy="665926"/>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2627</xdr:colOff>
      <xdr:row>19</xdr:row>
      <xdr:rowOff>6083</xdr:rowOff>
    </xdr:from>
    <xdr:to>
      <xdr:col>5</xdr:col>
      <xdr:colOff>0</xdr:colOff>
      <xdr:row>26</xdr:row>
      <xdr:rowOff>0</xdr:rowOff>
    </xdr:to>
    <xdr:sp macro="" textlink="">
      <xdr:nvSpPr>
        <xdr:cNvPr id="39" name="正方形/長方形 38"/>
        <xdr:cNvSpPr/>
      </xdr:nvSpPr>
      <xdr:spPr>
        <a:xfrm>
          <a:off x="612227" y="3308083"/>
          <a:ext cx="606973" cy="11496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LAN</a:t>
          </a:r>
          <a:br>
            <a:rPr kumimoji="1" lang="en-US" altLang="ja-JP" sz="1100">
              <a:solidFill>
                <a:sysClr val="windowText" lastClr="000000"/>
              </a:solidFill>
            </a:rPr>
          </a:br>
          <a:r>
            <a:rPr kumimoji="1" lang="en-US" altLang="ja-JP" sz="1100">
              <a:solidFill>
                <a:sysClr val="windowText" lastClr="000000"/>
              </a:solidFill>
            </a:rPr>
            <a:t>HUB</a:t>
          </a:r>
        </a:p>
      </xdr:txBody>
    </xdr:sp>
    <xdr:clientData/>
  </xdr:twoCellAnchor>
  <xdr:twoCellAnchor>
    <xdr:from>
      <xdr:col>5</xdr:col>
      <xdr:colOff>0</xdr:colOff>
      <xdr:row>8</xdr:row>
      <xdr:rowOff>85592</xdr:rowOff>
    </xdr:from>
    <xdr:to>
      <xdr:col>7</xdr:col>
      <xdr:colOff>0</xdr:colOff>
      <xdr:row>22</xdr:row>
      <xdr:rowOff>85592</xdr:rowOff>
    </xdr:to>
    <xdr:cxnSp macro="">
      <xdr:nvCxnSpPr>
        <xdr:cNvPr id="32" name="直線コネクタ 31"/>
        <xdr:cNvCxnSpPr>
          <a:stCxn id="39" idx="3"/>
          <a:endCxn id="2" idx="1"/>
        </xdr:cNvCxnSpPr>
      </xdr:nvCxnSpPr>
      <xdr:spPr>
        <a:xfrm flipV="1">
          <a:off x="1219200" y="1571492"/>
          <a:ext cx="1219200" cy="2311400"/>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2627</xdr:colOff>
      <xdr:row>14</xdr:row>
      <xdr:rowOff>0</xdr:rowOff>
    </xdr:from>
    <xdr:to>
      <xdr:col>8</xdr:col>
      <xdr:colOff>0</xdr:colOff>
      <xdr:row>20</xdr:row>
      <xdr:rowOff>159017</xdr:rowOff>
    </xdr:to>
    <xdr:sp macro="" textlink="">
      <xdr:nvSpPr>
        <xdr:cNvPr id="43" name="正方形/長方形 42"/>
        <xdr:cNvSpPr/>
      </xdr:nvSpPr>
      <xdr:spPr>
        <a:xfrm>
          <a:off x="2441027" y="2146300"/>
          <a:ext cx="606973" cy="11496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PC</a:t>
          </a:r>
          <a:endParaRPr kumimoji="1" lang="ja-JP" altLang="en-US" sz="1100">
            <a:solidFill>
              <a:sysClr val="windowText" lastClr="000000"/>
            </a:solidFill>
          </a:endParaRPr>
        </a:p>
      </xdr:txBody>
    </xdr:sp>
    <xdr:clientData/>
  </xdr:twoCellAnchor>
  <xdr:twoCellAnchor>
    <xdr:from>
      <xdr:col>8</xdr:col>
      <xdr:colOff>2627</xdr:colOff>
      <xdr:row>15</xdr:row>
      <xdr:rowOff>6083</xdr:rowOff>
    </xdr:from>
    <xdr:to>
      <xdr:col>9</xdr:col>
      <xdr:colOff>0</xdr:colOff>
      <xdr:row>16</xdr:row>
      <xdr:rowOff>0</xdr:rowOff>
    </xdr:to>
    <xdr:sp macro="" textlink="">
      <xdr:nvSpPr>
        <xdr:cNvPr id="49" name="正方形/長方形 48"/>
        <xdr:cNvSpPr/>
      </xdr:nvSpPr>
      <xdr:spPr>
        <a:xfrm>
          <a:off x="3050627" y="2317483"/>
          <a:ext cx="606973" cy="1590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USB</a:t>
          </a:r>
        </a:p>
      </xdr:txBody>
    </xdr:sp>
    <xdr:clientData/>
  </xdr:twoCellAnchor>
  <xdr:twoCellAnchor>
    <xdr:from>
      <xdr:col>13</xdr:col>
      <xdr:colOff>0</xdr:colOff>
      <xdr:row>14</xdr:row>
      <xdr:rowOff>6083</xdr:rowOff>
    </xdr:from>
    <xdr:to>
      <xdr:col>15</xdr:col>
      <xdr:colOff>0</xdr:colOff>
      <xdr:row>17</xdr:row>
      <xdr:rowOff>0</xdr:rowOff>
    </xdr:to>
    <xdr:sp macro="" textlink="">
      <xdr:nvSpPr>
        <xdr:cNvPr id="51" name="正方形/長方形 50"/>
        <xdr:cNvSpPr/>
      </xdr:nvSpPr>
      <xdr:spPr>
        <a:xfrm>
          <a:off x="6096000" y="2152383"/>
          <a:ext cx="1219200" cy="4892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QR</a:t>
          </a:r>
          <a:r>
            <a:rPr kumimoji="1" lang="ja-JP" altLang="en-US" sz="1100">
              <a:solidFill>
                <a:sysClr val="windowText" lastClr="000000"/>
              </a:solidFill>
            </a:rPr>
            <a:t>リーダー</a:t>
          </a:r>
        </a:p>
      </xdr:txBody>
    </xdr:sp>
    <xdr:clientData/>
  </xdr:twoCellAnchor>
  <xdr:twoCellAnchor>
    <xdr:from>
      <xdr:col>9</xdr:col>
      <xdr:colOff>0</xdr:colOff>
      <xdr:row>15</xdr:row>
      <xdr:rowOff>85592</xdr:rowOff>
    </xdr:from>
    <xdr:to>
      <xdr:col>13</xdr:col>
      <xdr:colOff>0</xdr:colOff>
      <xdr:row>15</xdr:row>
      <xdr:rowOff>85592</xdr:rowOff>
    </xdr:to>
    <xdr:cxnSp macro="">
      <xdr:nvCxnSpPr>
        <xdr:cNvPr id="52" name="直線コネクタ 51"/>
        <xdr:cNvCxnSpPr>
          <a:stCxn id="49" idx="3"/>
          <a:endCxn id="51" idx="1"/>
        </xdr:cNvCxnSpPr>
      </xdr:nvCxnSpPr>
      <xdr:spPr>
        <a:xfrm>
          <a:off x="3657600" y="2396992"/>
          <a:ext cx="2438400" cy="0"/>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17</xdr:row>
      <xdr:rowOff>79509</xdr:rowOff>
    </xdr:from>
    <xdr:to>
      <xdr:col>7</xdr:col>
      <xdr:colOff>2627</xdr:colOff>
      <xdr:row>22</xdr:row>
      <xdr:rowOff>85592</xdr:rowOff>
    </xdr:to>
    <xdr:cxnSp macro="">
      <xdr:nvCxnSpPr>
        <xdr:cNvPr id="55" name="直線コネクタ 54"/>
        <xdr:cNvCxnSpPr>
          <a:stCxn id="39" idx="3"/>
          <a:endCxn id="43" idx="1"/>
        </xdr:cNvCxnSpPr>
      </xdr:nvCxnSpPr>
      <xdr:spPr>
        <a:xfrm flipV="1">
          <a:off x="1219200" y="3051309"/>
          <a:ext cx="1221827" cy="831583"/>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2627</xdr:colOff>
      <xdr:row>23</xdr:row>
      <xdr:rowOff>0</xdr:rowOff>
    </xdr:from>
    <xdr:to>
      <xdr:col>8</xdr:col>
      <xdr:colOff>0</xdr:colOff>
      <xdr:row>29</xdr:row>
      <xdr:rowOff>159017</xdr:rowOff>
    </xdr:to>
    <xdr:sp macro="" textlink="">
      <xdr:nvSpPr>
        <xdr:cNvPr id="59" name="正方形/長方形 58"/>
        <xdr:cNvSpPr/>
      </xdr:nvSpPr>
      <xdr:spPr>
        <a:xfrm>
          <a:off x="2441027" y="3962400"/>
          <a:ext cx="606973" cy="11496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PC</a:t>
          </a:r>
          <a:endParaRPr kumimoji="1" lang="ja-JP" altLang="en-US" sz="1100">
            <a:solidFill>
              <a:sysClr val="windowText" lastClr="000000"/>
            </a:solidFill>
          </a:endParaRPr>
        </a:p>
      </xdr:txBody>
    </xdr:sp>
    <xdr:clientData/>
  </xdr:twoCellAnchor>
  <xdr:twoCellAnchor>
    <xdr:from>
      <xdr:col>5</xdr:col>
      <xdr:colOff>0</xdr:colOff>
      <xdr:row>22</xdr:row>
      <xdr:rowOff>85592</xdr:rowOff>
    </xdr:from>
    <xdr:to>
      <xdr:col>7</xdr:col>
      <xdr:colOff>2627</xdr:colOff>
      <xdr:row>26</xdr:row>
      <xdr:rowOff>79509</xdr:rowOff>
    </xdr:to>
    <xdr:cxnSp macro="">
      <xdr:nvCxnSpPr>
        <xdr:cNvPr id="60" name="直線コネクタ 59"/>
        <xdr:cNvCxnSpPr>
          <a:stCxn id="39" idx="3"/>
          <a:endCxn id="59" idx="1"/>
        </xdr:cNvCxnSpPr>
      </xdr:nvCxnSpPr>
      <xdr:spPr>
        <a:xfrm>
          <a:off x="1219200" y="3882892"/>
          <a:ext cx="1221827" cy="65431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24</xdr:row>
      <xdr:rowOff>6083</xdr:rowOff>
    </xdr:from>
    <xdr:to>
      <xdr:col>8</xdr:col>
      <xdr:colOff>606973</xdr:colOff>
      <xdr:row>25</xdr:row>
      <xdr:rowOff>0</xdr:rowOff>
    </xdr:to>
    <xdr:sp macro="" textlink="">
      <xdr:nvSpPr>
        <xdr:cNvPr id="63" name="正方形/長方形 62"/>
        <xdr:cNvSpPr/>
      </xdr:nvSpPr>
      <xdr:spPr>
        <a:xfrm>
          <a:off x="3048000" y="3803383"/>
          <a:ext cx="606973" cy="1590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USB</a:t>
          </a:r>
        </a:p>
      </xdr:txBody>
    </xdr:sp>
    <xdr:clientData/>
  </xdr:twoCellAnchor>
  <xdr:twoCellAnchor>
    <xdr:from>
      <xdr:col>12</xdr:col>
      <xdr:colOff>606973</xdr:colOff>
      <xdr:row>23</xdr:row>
      <xdr:rowOff>6083</xdr:rowOff>
    </xdr:from>
    <xdr:to>
      <xdr:col>14</xdr:col>
      <xdr:colOff>606973</xdr:colOff>
      <xdr:row>26</xdr:row>
      <xdr:rowOff>0</xdr:rowOff>
    </xdr:to>
    <xdr:sp macro="" textlink="">
      <xdr:nvSpPr>
        <xdr:cNvPr id="64" name="正方形/長方形 63"/>
        <xdr:cNvSpPr/>
      </xdr:nvSpPr>
      <xdr:spPr>
        <a:xfrm>
          <a:off x="6093373" y="3638283"/>
          <a:ext cx="1219200" cy="4892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QR</a:t>
          </a:r>
          <a:r>
            <a:rPr kumimoji="1" lang="ja-JP" altLang="en-US" sz="1100">
              <a:solidFill>
                <a:sysClr val="windowText" lastClr="000000"/>
              </a:solidFill>
            </a:rPr>
            <a:t>リーダー</a:t>
          </a:r>
        </a:p>
      </xdr:txBody>
    </xdr:sp>
    <xdr:clientData/>
  </xdr:twoCellAnchor>
  <xdr:twoCellAnchor>
    <xdr:from>
      <xdr:col>8</xdr:col>
      <xdr:colOff>606973</xdr:colOff>
      <xdr:row>24</xdr:row>
      <xdr:rowOff>85592</xdr:rowOff>
    </xdr:from>
    <xdr:to>
      <xdr:col>12</xdr:col>
      <xdr:colOff>606973</xdr:colOff>
      <xdr:row>24</xdr:row>
      <xdr:rowOff>85592</xdr:rowOff>
    </xdr:to>
    <xdr:cxnSp macro="">
      <xdr:nvCxnSpPr>
        <xdr:cNvPr id="65" name="直線コネクタ 64"/>
        <xdr:cNvCxnSpPr>
          <a:stCxn id="63" idx="3"/>
          <a:endCxn id="64" idx="1"/>
        </xdr:cNvCxnSpPr>
      </xdr:nvCxnSpPr>
      <xdr:spPr>
        <a:xfrm>
          <a:off x="3654973" y="3882892"/>
          <a:ext cx="2438400" cy="0"/>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27</xdr:row>
      <xdr:rowOff>6083</xdr:rowOff>
    </xdr:from>
    <xdr:to>
      <xdr:col>15</xdr:col>
      <xdr:colOff>0</xdr:colOff>
      <xdr:row>30</xdr:row>
      <xdr:rowOff>0</xdr:rowOff>
    </xdr:to>
    <xdr:sp macro="" textlink="">
      <xdr:nvSpPr>
        <xdr:cNvPr id="68" name="正方形/長方形 67"/>
        <xdr:cNvSpPr/>
      </xdr:nvSpPr>
      <xdr:spPr>
        <a:xfrm>
          <a:off x="6096000" y="4298683"/>
          <a:ext cx="1219200" cy="489217"/>
        </a:xfrm>
        <a:prstGeom prst="rect">
          <a:avLst/>
        </a:prstGeom>
        <a:solidFill>
          <a:schemeClr val="bg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PowerStrip</a:t>
          </a:r>
          <a:br>
            <a:rPr kumimoji="1" lang="en-US" altLang="ja-JP" sz="1100">
              <a:solidFill>
                <a:sysClr val="windowText" lastClr="000000"/>
              </a:solidFill>
            </a:rPr>
          </a:br>
          <a:r>
            <a:rPr kumimoji="1" lang="en-US" altLang="ja-JP" sz="1100">
              <a:solidFill>
                <a:sysClr val="windowText" lastClr="000000"/>
              </a:solidFill>
            </a:rPr>
            <a:t>9500</a:t>
          </a:r>
          <a:endParaRPr kumimoji="1" lang="ja-JP" altLang="en-US" sz="1100">
            <a:solidFill>
              <a:sysClr val="windowText" lastClr="000000"/>
            </a:solidFill>
          </a:endParaRPr>
        </a:p>
      </xdr:txBody>
    </xdr:sp>
    <xdr:clientData/>
  </xdr:twoCellAnchor>
  <xdr:twoCellAnchor>
    <xdr:from>
      <xdr:col>10</xdr:col>
      <xdr:colOff>330200</xdr:colOff>
      <xdr:row>28</xdr:row>
      <xdr:rowOff>82550</xdr:rowOff>
    </xdr:from>
    <xdr:to>
      <xdr:col>13</xdr:col>
      <xdr:colOff>0</xdr:colOff>
      <xdr:row>28</xdr:row>
      <xdr:rowOff>85592</xdr:rowOff>
    </xdr:to>
    <xdr:cxnSp macro="">
      <xdr:nvCxnSpPr>
        <xdr:cNvPr id="69" name="直線コネクタ 68"/>
        <xdr:cNvCxnSpPr>
          <a:stCxn id="76" idx="3"/>
          <a:endCxn id="68" idx="1"/>
        </xdr:cNvCxnSpPr>
      </xdr:nvCxnSpPr>
      <xdr:spPr>
        <a:xfrm>
          <a:off x="4597400" y="4870450"/>
          <a:ext cx="1498600" cy="3042"/>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606973</xdr:colOff>
      <xdr:row>24</xdr:row>
      <xdr:rowOff>85592</xdr:rowOff>
    </xdr:from>
    <xdr:to>
      <xdr:col>9</xdr:col>
      <xdr:colOff>332827</xdr:colOff>
      <xdr:row>28</xdr:row>
      <xdr:rowOff>82550</xdr:rowOff>
    </xdr:to>
    <xdr:cxnSp macro="">
      <xdr:nvCxnSpPr>
        <xdr:cNvPr id="77" name="直線コネクタ 76"/>
        <xdr:cNvCxnSpPr>
          <a:stCxn id="63" idx="3"/>
          <a:endCxn id="76" idx="1"/>
        </xdr:cNvCxnSpPr>
      </xdr:nvCxnSpPr>
      <xdr:spPr>
        <a:xfrm>
          <a:off x="3654973" y="4213092"/>
          <a:ext cx="335454" cy="657358"/>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579783</xdr:colOff>
      <xdr:row>29</xdr:row>
      <xdr:rowOff>115956</xdr:rowOff>
    </xdr:from>
    <xdr:to>
      <xdr:col>12</xdr:col>
      <xdr:colOff>421308</xdr:colOff>
      <xdr:row>31</xdr:row>
      <xdr:rowOff>160131</xdr:rowOff>
    </xdr:to>
    <xdr:sp macro="" textlink="">
      <xdr:nvSpPr>
        <xdr:cNvPr id="81" name="角丸四角形吹き出し 80"/>
        <xdr:cNvSpPr/>
      </xdr:nvSpPr>
      <xdr:spPr>
        <a:xfrm>
          <a:off x="5737087" y="4919869"/>
          <a:ext cx="1663699" cy="375479"/>
        </a:xfrm>
        <a:prstGeom prst="wedgeRoundRectCallout">
          <a:avLst>
            <a:gd name="adj1" fmla="val 70692"/>
            <a:gd name="adj2" fmla="val -61073"/>
            <a:gd name="adj3" fmla="val 16667"/>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rIns="0" rtlCol="0" anchor="ctr" anchorCtr="0"/>
        <a:lstStyle/>
        <a:p>
          <a:pPr algn="l"/>
          <a:r>
            <a:rPr kumimoji="1" lang="ja-JP" altLang="en-US" sz="1100">
              <a:solidFill>
                <a:sysClr val="windowText" lastClr="000000"/>
              </a:solidFill>
            </a:rPr>
            <a:t>マニュアルが見つからない</a:t>
          </a:r>
        </a:p>
      </xdr:txBody>
    </xdr:sp>
    <xdr:clientData/>
  </xdr:twoCellAnchor>
  <xdr:twoCellAnchor>
    <xdr:from>
      <xdr:col>7</xdr:col>
      <xdr:colOff>2627</xdr:colOff>
      <xdr:row>32</xdr:row>
      <xdr:rowOff>6083</xdr:rowOff>
    </xdr:from>
    <xdr:to>
      <xdr:col>8</xdr:col>
      <xdr:colOff>0</xdr:colOff>
      <xdr:row>39</xdr:row>
      <xdr:rowOff>0</xdr:rowOff>
    </xdr:to>
    <xdr:sp macro="" textlink="">
      <xdr:nvSpPr>
        <xdr:cNvPr id="84" name="正方形/長方形 83"/>
        <xdr:cNvSpPr/>
      </xdr:nvSpPr>
      <xdr:spPr>
        <a:xfrm>
          <a:off x="3976980" y="5265377"/>
          <a:ext cx="609961" cy="1144388"/>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PC</a:t>
          </a:r>
          <a:endParaRPr kumimoji="1" lang="ja-JP" altLang="en-US" sz="1100">
            <a:solidFill>
              <a:sysClr val="windowText" lastClr="000000"/>
            </a:solidFill>
          </a:endParaRPr>
        </a:p>
      </xdr:txBody>
    </xdr:sp>
    <xdr:clientData/>
  </xdr:twoCellAnchor>
  <xdr:twoCellAnchor>
    <xdr:from>
      <xdr:col>5</xdr:col>
      <xdr:colOff>0</xdr:colOff>
      <xdr:row>22</xdr:row>
      <xdr:rowOff>85592</xdr:rowOff>
    </xdr:from>
    <xdr:to>
      <xdr:col>7</xdr:col>
      <xdr:colOff>2627</xdr:colOff>
      <xdr:row>35</xdr:row>
      <xdr:rowOff>85592</xdr:rowOff>
    </xdr:to>
    <xdr:cxnSp macro="">
      <xdr:nvCxnSpPr>
        <xdr:cNvPr id="85" name="直線コネクタ 84"/>
        <xdr:cNvCxnSpPr>
          <a:stCxn id="39" idx="3"/>
          <a:endCxn id="84" idx="1"/>
        </xdr:cNvCxnSpPr>
      </xdr:nvCxnSpPr>
      <xdr:spPr>
        <a:xfrm>
          <a:off x="1219200" y="3882892"/>
          <a:ext cx="1221827" cy="2146300"/>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2627</xdr:colOff>
      <xdr:row>33</xdr:row>
      <xdr:rowOff>6083</xdr:rowOff>
    </xdr:from>
    <xdr:to>
      <xdr:col>9</xdr:col>
      <xdr:colOff>0</xdr:colOff>
      <xdr:row>34</xdr:row>
      <xdr:rowOff>0</xdr:rowOff>
    </xdr:to>
    <xdr:sp macro="" textlink="">
      <xdr:nvSpPr>
        <xdr:cNvPr id="98" name="正方形/長方形 97"/>
        <xdr:cNvSpPr/>
      </xdr:nvSpPr>
      <xdr:spPr>
        <a:xfrm>
          <a:off x="3050627" y="5619483"/>
          <a:ext cx="606973" cy="1590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USB</a:t>
          </a:r>
        </a:p>
      </xdr:txBody>
    </xdr:sp>
    <xdr:clientData/>
  </xdr:twoCellAnchor>
  <xdr:twoCellAnchor>
    <xdr:from>
      <xdr:col>13</xdr:col>
      <xdr:colOff>0</xdr:colOff>
      <xdr:row>32</xdr:row>
      <xdr:rowOff>6083</xdr:rowOff>
    </xdr:from>
    <xdr:to>
      <xdr:col>15</xdr:col>
      <xdr:colOff>0</xdr:colOff>
      <xdr:row>35</xdr:row>
      <xdr:rowOff>0</xdr:rowOff>
    </xdr:to>
    <xdr:sp macro="" textlink="">
      <xdr:nvSpPr>
        <xdr:cNvPr id="100" name="正方形/長方形 99"/>
        <xdr:cNvSpPr/>
      </xdr:nvSpPr>
      <xdr:spPr>
        <a:xfrm>
          <a:off x="6096000" y="5454383"/>
          <a:ext cx="1219200" cy="48921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QR</a:t>
          </a:r>
          <a:r>
            <a:rPr kumimoji="1" lang="ja-JP" altLang="en-US" sz="1100">
              <a:solidFill>
                <a:sysClr val="windowText" lastClr="000000"/>
              </a:solidFill>
            </a:rPr>
            <a:t>リーダー</a:t>
          </a:r>
        </a:p>
      </xdr:txBody>
    </xdr:sp>
    <xdr:clientData/>
  </xdr:twoCellAnchor>
  <xdr:twoCellAnchor>
    <xdr:from>
      <xdr:col>9</xdr:col>
      <xdr:colOff>0</xdr:colOff>
      <xdr:row>33</xdr:row>
      <xdr:rowOff>85592</xdr:rowOff>
    </xdr:from>
    <xdr:to>
      <xdr:col>13</xdr:col>
      <xdr:colOff>0</xdr:colOff>
      <xdr:row>33</xdr:row>
      <xdr:rowOff>85592</xdr:rowOff>
    </xdr:to>
    <xdr:cxnSp macro="">
      <xdr:nvCxnSpPr>
        <xdr:cNvPr id="101" name="直線コネクタ 100"/>
        <xdr:cNvCxnSpPr>
          <a:stCxn id="98" idx="3"/>
          <a:endCxn id="100" idx="1"/>
        </xdr:cNvCxnSpPr>
      </xdr:nvCxnSpPr>
      <xdr:spPr>
        <a:xfrm>
          <a:off x="3657600" y="5698992"/>
          <a:ext cx="2438400" cy="0"/>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101600</xdr:colOff>
      <xdr:row>10</xdr:row>
      <xdr:rowOff>0</xdr:rowOff>
    </xdr:from>
    <xdr:to>
      <xdr:col>9</xdr:col>
      <xdr:colOff>215900</xdr:colOff>
      <xdr:row>11</xdr:row>
      <xdr:rowOff>63500</xdr:rowOff>
    </xdr:to>
    <xdr:sp macro="" textlink="">
      <xdr:nvSpPr>
        <xdr:cNvPr id="109" name="角丸四角形 108"/>
        <xdr:cNvSpPr/>
      </xdr:nvSpPr>
      <xdr:spPr>
        <a:xfrm>
          <a:off x="4075953" y="1643529"/>
          <a:ext cx="1339476" cy="227853"/>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実績入力システム</a:t>
          </a:r>
        </a:p>
      </xdr:txBody>
    </xdr:sp>
    <xdr:clientData/>
  </xdr:twoCellAnchor>
  <xdr:twoCellAnchor>
    <xdr:from>
      <xdr:col>7</xdr:col>
      <xdr:colOff>101600</xdr:colOff>
      <xdr:row>19</xdr:row>
      <xdr:rowOff>0</xdr:rowOff>
    </xdr:from>
    <xdr:to>
      <xdr:col>9</xdr:col>
      <xdr:colOff>215900</xdr:colOff>
      <xdr:row>20</xdr:row>
      <xdr:rowOff>63500</xdr:rowOff>
    </xdr:to>
    <xdr:sp macro="" textlink="">
      <xdr:nvSpPr>
        <xdr:cNvPr id="110" name="角丸四角形 109"/>
        <xdr:cNvSpPr/>
      </xdr:nvSpPr>
      <xdr:spPr>
        <a:xfrm>
          <a:off x="4075953" y="3122706"/>
          <a:ext cx="1339476" cy="227853"/>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実績入力システム</a:t>
          </a:r>
        </a:p>
      </xdr:txBody>
    </xdr:sp>
    <xdr:clientData/>
  </xdr:twoCellAnchor>
  <xdr:twoCellAnchor>
    <xdr:from>
      <xdr:col>7</xdr:col>
      <xdr:colOff>101600</xdr:colOff>
      <xdr:row>28</xdr:row>
      <xdr:rowOff>0</xdr:rowOff>
    </xdr:from>
    <xdr:to>
      <xdr:col>9</xdr:col>
      <xdr:colOff>215900</xdr:colOff>
      <xdr:row>29</xdr:row>
      <xdr:rowOff>63500</xdr:rowOff>
    </xdr:to>
    <xdr:sp macro="" textlink="">
      <xdr:nvSpPr>
        <xdr:cNvPr id="111" name="角丸四角形 110"/>
        <xdr:cNvSpPr/>
      </xdr:nvSpPr>
      <xdr:spPr>
        <a:xfrm>
          <a:off x="4075953" y="4601882"/>
          <a:ext cx="1339476" cy="227853"/>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実績入力システム</a:t>
          </a:r>
        </a:p>
      </xdr:txBody>
    </xdr:sp>
    <xdr:clientData/>
  </xdr:twoCellAnchor>
  <xdr:twoCellAnchor>
    <xdr:from>
      <xdr:col>7</xdr:col>
      <xdr:colOff>101600</xdr:colOff>
      <xdr:row>37</xdr:row>
      <xdr:rowOff>0</xdr:rowOff>
    </xdr:from>
    <xdr:to>
      <xdr:col>9</xdr:col>
      <xdr:colOff>215900</xdr:colOff>
      <xdr:row>38</xdr:row>
      <xdr:rowOff>63500</xdr:rowOff>
    </xdr:to>
    <xdr:sp macro="" textlink="">
      <xdr:nvSpPr>
        <xdr:cNvPr id="112" name="角丸四角形 111"/>
        <xdr:cNvSpPr/>
      </xdr:nvSpPr>
      <xdr:spPr>
        <a:xfrm>
          <a:off x="4075953" y="6081059"/>
          <a:ext cx="1339476" cy="227853"/>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実績入力システム</a:t>
          </a:r>
        </a:p>
      </xdr:txBody>
    </xdr:sp>
    <xdr:clientData/>
  </xdr:twoCellAnchor>
  <xdr:twoCellAnchor>
    <xdr:from>
      <xdr:col>1</xdr:col>
      <xdr:colOff>0</xdr:colOff>
      <xdr:row>23</xdr:row>
      <xdr:rowOff>0</xdr:rowOff>
    </xdr:from>
    <xdr:to>
      <xdr:col>1</xdr:col>
      <xdr:colOff>604764</xdr:colOff>
      <xdr:row>29</xdr:row>
      <xdr:rowOff>159570</xdr:rowOff>
    </xdr:to>
    <xdr:sp macro="" textlink="">
      <xdr:nvSpPr>
        <xdr:cNvPr id="114" name="正方形/長方形 113"/>
        <xdr:cNvSpPr/>
      </xdr:nvSpPr>
      <xdr:spPr>
        <a:xfrm>
          <a:off x="298174" y="3810000"/>
          <a:ext cx="604764" cy="1153483"/>
        </a:xfrm>
        <a:prstGeom prst="rect">
          <a:avLst/>
        </a:prstGeom>
        <a:solidFill>
          <a:schemeClr val="bg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PC</a:t>
          </a:r>
          <a:endParaRPr kumimoji="1" lang="ja-JP" altLang="en-US" sz="1100">
            <a:solidFill>
              <a:sysClr val="windowText" lastClr="000000"/>
            </a:solidFill>
          </a:endParaRPr>
        </a:p>
      </xdr:txBody>
    </xdr:sp>
    <xdr:clientData/>
  </xdr:twoCellAnchor>
  <xdr:twoCellAnchor>
    <xdr:from>
      <xdr:col>1</xdr:col>
      <xdr:colOff>98973</xdr:colOff>
      <xdr:row>27</xdr:row>
      <xdr:rowOff>120916</xdr:rowOff>
    </xdr:from>
    <xdr:to>
      <xdr:col>3</xdr:col>
      <xdr:colOff>448224</xdr:colOff>
      <xdr:row>29</xdr:row>
      <xdr:rowOff>6065</xdr:rowOff>
    </xdr:to>
    <xdr:sp macro="" textlink="">
      <xdr:nvSpPr>
        <xdr:cNvPr id="115" name="角丸四角形 114"/>
        <xdr:cNvSpPr/>
      </xdr:nvSpPr>
      <xdr:spPr>
        <a:xfrm>
          <a:off x="397147" y="4593525"/>
          <a:ext cx="1564034" cy="216453"/>
        </a:xfrm>
        <a:prstGeom prst="roundRect">
          <a:avLst/>
        </a:prstGeom>
        <a:solidFill>
          <a:schemeClr val="accent6">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かんばん管理システム</a:t>
          </a:r>
        </a:p>
      </xdr:txBody>
    </xdr:sp>
    <xdr:clientData/>
  </xdr:twoCellAnchor>
  <xdr:twoCellAnchor>
    <xdr:from>
      <xdr:col>1</xdr:col>
      <xdr:colOff>604764</xdr:colOff>
      <xdr:row>22</xdr:row>
      <xdr:rowOff>85868</xdr:rowOff>
    </xdr:from>
    <xdr:to>
      <xdr:col>4</xdr:col>
      <xdr:colOff>2627</xdr:colOff>
      <xdr:row>26</xdr:row>
      <xdr:rowOff>79785</xdr:rowOff>
    </xdr:to>
    <xdr:cxnSp macro="">
      <xdr:nvCxnSpPr>
        <xdr:cNvPr id="116" name="直線コネクタ 115"/>
        <xdr:cNvCxnSpPr>
          <a:stCxn id="39" idx="1"/>
          <a:endCxn id="114" idx="3"/>
        </xdr:cNvCxnSpPr>
      </xdr:nvCxnSpPr>
      <xdr:spPr>
        <a:xfrm flipH="1">
          <a:off x="902938" y="3730216"/>
          <a:ext cx="1220037" cy="656526"/>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313765</xdr:colOff>
      <xdr:row>30</xdr:row>
      <xdr:rowOff>10859</xdr:rowOff>
    </xdr:from>
    <xdr:to>
      <xdr:col>5</xdr:col>
      <xdr:colOff>313764</xdr:colOff>
      <xdr:row>33</xdr:row>
      <xdr:rowOff>5521</xdr:rowOff>
    </xdr:to>
    <xdr:sp macro="" textlink="">
      <xdr:nvSpPr>
        <xdr:cNvPr id="120" name="正方形/長方形 119"/>
        <xdr:cNvSpPr/>
      </xdr:nvSpPr>
      <xdr:spPr>
        <a:xfrm>
          <a:off x="1826722" y="4980424"/>
          <a:ext cx="1214781" cy="491619"/>
        </a:xfrm>
        <a:prstGeom prst="rect">
          <a:avLst/>
        </a:prstGeom>
        <a:solidFill>
          <a:schemeClr val="bg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プリンター</a:t>
          </a:r>
        </a:p>
      </xdr:txBody>
    </xdr:sp>
    <xdr:clientData/>
  </xdr:twoCellAnchor>
  <xdr:twoCellAnchor>
    <xdr:from>
      <xdr:col>4</xdr:col>
      <xdr:colOff>305009</xdr:colOff>
      <xdr:row>26</xdr:row>
      <xdr:rowOff>0</xdr:rowOff>
    </xdr:from>
    <xdr:to>
      <xdr:col>4</xdr:col>
      <xdr:colOff>313765</xdr:colOff>
      <xdr:row>30</xdr:row>
      <xdr:rowOff>10859</xdr:rowOff>
    </xdr:to>
    <xdr:cxnSp macro="">
      <xdr:nvCxnSpPr>
        <xdr:cNvPr id="121" name="直線コネクタ 120"/>
        <xdr:cNvCxnSpPr>
          <a:stCxn id="39" idx="2"/>
          <a:endCxn id="120" idx="0"/>
        </xdr:cNvCxnSpPr>
      </xdr:nvCxnSpPr>
      <xdr:spPr>
        <a:xfrm>
          <a:off x="2425357" y="4306957"/>
          <a:ext cx="8756" cy="673467"/>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2627</xdr:colOff>
      <xdr:row>5</xdr:row>
      <xdr:rowOff>0</xdr:rowOff>
    </xdr:from>
    <xdr:to>
      <xdr:col>5</xdr:col>
      <xdr:colOff>0</xdr:colOff>
      <xdr:row>11</xdr:row>
      <xdr:rowOff>158270</xdr:rowOff>
    </xdr:to>
    <xdr:sp macro="" textlink="">
      <xdr:nvSpPr>
        <xdr:cNvPr id="129" name="正方形/長方形 128"/>
        <xdr:cNvSpPr/>
      </xdr:nvSpPr>
      <xdr:spPr>
        <a:xfrm>
          <a:off x="2751803" y="821765"/>
          <a:ext cx="609962" cy="1144387"/>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NAS</a:t>
          </a:r>
        </a:p>
        <a:p>
          <a:pPr algn="ctr"/>
          <a:r>
            <a:rPr kumimoji="1" lang="ja-JP" altLang="en-US" sz="1100">
              <a:solidFill>
                <a:sysClr val="windowText" lastClr="000000"/>
              </a:solidFill>
            </a:rPr>
            <a:t>サーバー</a:t>
          </a:r>
          <a:endParaRPr kumimoji="1" lang="en-US" altLang="ja-JP" sz="1100">
            <a:solidFill>
              <a:sysClr val="windowText" lastClr="000000"/>
            </a:solidFill>
          </a:endParaRPr>
        </a:p>
      </xdr:txBody>
    </xdr:sp>
    <xdr:clientData/>
  </xdr:twoCellAnchor>
  <xdr:twoCellAnchor>
    <xdr:from>
      <xdr:col>2</xdr:col>
      <xdr:colOff>327081</xdr:colOff>
      <xdr:row>16</xdr:row>
      <xdr:rowOff>38652</xdr:rowOff>
    </xdr:from>
    <xdr:to>
      <xdr:col>4</xdr:col>
      <xdr:colOff>173155</xdr:colOff>
      <xdr:row>18</xdr:row>
      <xdr:rowOff>71456</xdr:rowOff>
    </xdr:to>
    <xdr:sp macro="" textlink="">
      <xdr:nvSpPr>
        <xdr:cNvPr id="130" name="角丸四角形吹き出し 129"/>
        <xdr:cNvSpPr/>
      </xdr:nvSpPr>
      <xdr:spPr>
        <a:xfrm>
          <a:off x="1232646" y="2689087"/>
          <a:ext cx="1060857" cy="364108"/>
        </a:xfrm>
        <a:prstGeom prst="wedgeRoundRectCallout">
          <a:avLst>
            <a:gd name="adj1" fmla="val 42786"/>
            <a:gd name="adj2" fmla="val 88524"/>
            <a:gd name="adj3" fmla="val 16667"/>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rIns="0" rtlCol="0" anchor="ctr" anchorCtr="0"/>
        <a:lstStyle/>
        <a:p>
          <a:pPr algn="ctr"/>
          <a:r>
            <a:rPr kumimoji="1" lang="ja-JP" altLang="en-US" sz="1100">
              <a:solidFill>
                <a:sysClr val="windowText" lastClr="000000"/>
              </a:solidFill>
            </a:rPr>
            <a:t>もしくは</a:t>
          </a:r>
          <a:r>
            <a:rPr kumimoji="1" lang="en-US" altLang="ja-JP" sz="1100">
              <a:solidFill>
                <a:sysClr val="windowText" lastClr="000000"/>
              </a:solidFill>
            </a:rPr>
            <a:t>Wifi</a:t>
          </a:r>
          <a:endParaRPr kumimoji="1" lang="ja-JP" altLang="en-US" sz="1100">
            <a:solidFill>
              <a:sysClr val="windowText" lastClr="000000"/>
            </a:solidFill>
          </a:endParaRPr>
        </a:p>
      </xdr:txBody>
    </xdr:sp>
    <xdr:clientData/>
  </xdr:twoCellAnchor>
  <xdr:twoCellAnchor>
    <xdr:from>
      <xdr:col>4</xdr:col>
      <xdr:colOff>307608</xdr:colOff>
      <xdr:row>11</xdr:row>
      <xdr:rowOff>158270</xdr:rowOff>
    </xdr:from>
    <xdr:to>
      <xdr:col>4</xdr:col>
      <xdr:colOff>307608</xdr:colOff>
      <xdr:row>19</xdr:row>
      <xdr:rowOff>6083</xdr:rowOff>
    </xdr:to>
    <xdr:cxnSp macro="">
      <xdr:nvCxnSpPr>
        <xdr:cNvPr id="131" name="直線コネクタ 130"/>
        <xdr:cNvCxnSpPr>
          <a:stCxn id="129" idx="2"/>
          <a:endCxn id="39" idx="0"/>
        </xdr:cNvCxnSpPr>
      </xdr:nvCxnSpPr>
      <xdr:spPr>
        <a:xfrm>
          <a:off x="3056784" y="1966152"/>
          <a:ext cx="0" cy="116263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302382</xdr:colOff>
      <xdr:row>29</xdr:row>
      <xdr:rowOff>159570</xdr:rowOff>
    </xdr:from>
    <xdr:to>
      <xdr:col>1</xdr:col>
      <xdr:colOff>302722</xdr:colOff>
      <xdr:row>37</xdr:row>
      <xdr:rowOff>0</xdr:rowOff>
    </xdr:to>
    <xdr:cxnSp macro="">
      <xdr:nvCxnSpPr>
        <xdr:cNvPr id="159" name="直線コネクタ 158"/>
        <xdr:cNvCxnSpPr>
          <a:stCxn id="114" idx="2"/>
          <a:endCxn id="165" idx="3"/>
        </xdr:cNvCxnSpPr>
      </xdr:nvCxnSpPr>
      <xdr:spPr>
        <a:xfrm>
          <a:off x="600556" y="4963483"/>
          <a:ext cx="340" cy="1165647"/>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215348</xdr:colOff>
      <xdr:row>37</xdr:row>
      <xdr:rowOff>0</xdr:rowOff>
    </xdr:from>
    <xdr:to>
      <xdr:col>2</xdr:col>
      <xdr:colOff>80878</xdr:colOff>
      <xdr:row>39</xdr:row>
      <xdr:rowOff>0</xdr:rowOff>
    </xdr:to>
    <xdr:sp macro="" textlink="">
      <xdr:nvSpPr>
        <xdr:cNvPr id="165" name="1 つの角を切り取った四角形 164"/>
        <xdr:cNvSpPr/>
      </xdr:nvSpPr>
      <xdr:spPr>
        <a:xfrm>
          <a:off x="215348" y="6129130"/>
          <a:ext cx="771095" cy="331305"/>
        </a:xfrm>
        <a:prstGeom prst="snip1Rect">
          <a:avLst>
            <a:gd name="adj" fmla="val 3712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r>
            <a:rPr kumimoji="1" lang="ja-JP" altLang="en-US" sz="1100">
              <a:solidFill>
                <a:sysClr val="windowText" lastClr="000000"/>
              </a:solidFill>
            </a:rPr>
            <a:t>かんばん</a:t>
          </a:r>
        </a:p>
      </xdr:txBody>
    </xdr:sp>
    <xdr:clientData/>
  </xdr:twoCellAnchor>
  <xdr:twoCellAnchor>
    <xdr:from>
      <xdr:col>3</xdr:col>
      <xdr:colOff>0</xdr:colOff>
      <xdr:row>37</xdr:row>
      <xdr:rowOff>0</xdr:rowOff>
    </xdr:from>
    <xdr:to>
      <xdr:col>5</xdr:col>
      <xdr:colOff>0</xdr:colOff>
      <xdr:row>39</xdr:row>
      <xdr:rowOff>0</xdr:rowOff>
    </xdr:to>
    <xdr:sp macro="" textlink="">
      <xdr:nvSpPr>
        <xdr:cNvPr id="166" name="1 つの角を切り取った四角形 165"/>
        <xdr:cNvSpPr/>
      </xdr:nvSpPr>
      <xdr:spPr>
        <a:xfrm>
          <a:off x="1512957" y="6129130"/>
          <a:ext cx="1214782" cy="331305"/>
        </a:xfrm>
        <a:prstGeom prst="snip1Rect">
          <a:avLst>
            <a:gd name="adj" fmla="val 32576"/>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r>
            <a:rPr kumimoji="1" lang="ja-JP" altLang="en-US" sz="1100">
              <a:solidFill>
                <a:sysClr val="windowText" lastClr="000000"/>
              </a:solidFill>
            </a:rPr>
            <a:t>作業者ネーム</a:t>
          </a:r>
        </a:p>
      </xdr:txBody>
    </xdr:sp>
    <xdr:clientData/>
  </xdr:twoCellAnchor>
  <xdr:twoCellAnchor>
    <xdr:from>
      <xdr:col>1</xdr:col>
      <xdr:colOff>302382</xdr:colOff>
      <xdr:row>29</xdr:row>
      <xdr:rowOff>159570</xdr:rowOff>
    </xdr:from>
    <xdr:to>
      <xdr:col>4</xdr:col>
      <xdr:colOff>0</xdr:colOff>
      <xdr:row>37</xdr:row>
      <xdr:rowOff>0</xdr:rowOff>
    </xdr:to>
    <xdr:cxnSp macro="">
      <xdr:nvCxnSpPr>
        <xdr:cNvPr id="167" name="直線コネクタ 166"/>
        <xdr:cNvCxnSpPr>
          <a:stCxn id="114" idx="2"/>
          <a:endCxn id="166" idx="3"/>
        </xdr:cNvCxnSpPr>
      </xdr:nvCxnSpPr>
      <xdr:spPr>
        <a:xfrm>
          <a:off x="600556" y="4963483"/>
          <a:ext cx="1519792" cy="1165647"/>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xdr:row>
      <xdr:rowOff>0</xdr:rowOff>
    </xdr:from>
    <xdr:to>
      <xdr:col>1</xdr:col>
      <xdr:colOff>608852</xdr:colOff>
      <xdr:row>5</xdr:row>
      <xdr:rowOff>0</xdr:rowOff>
    </xdr:to>
    <xdr:sp macro="" textlink="">
      <xdr:nvSpPr>
        <xdr:cNvPr id="187" name="1 つの角を切り取った四角形 186"/>
        <xdr:cNvSpPr/>
      </xdr:nvSpPr>
      <xdr:spPr>
        <a:xfrm>
          <a:off x="298824" y="657412"/>
          <a:ext cx="608852" cy="164353"/>
        </a:xfrm>
        <a:prstGeom prst="snip1Rect">
          <a:avLst>
            <a:gd name="adj" fmla="val 38258"/>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endParaRPr kumimoji="1" lang="ja-JP" altLang="en-US" sz="1100">
            <a:solidFill>
              <a:sysClr val="windowText" lastClr="000000"/>
            </a:solidFill>
          </a:endParaRPr>
        </a:p>
      </xdr:txBody>
    </xdr:sp>
    <xdr:clientData/>
  </xdr:twoCellAnchor>
  <xdr:twoCellAnchor>
    <xdr:from>
      <xdr:col>0</xdr:col>
      <xdr:colOff>82826</xdr:colOff>
      <xdr:row>7</xdr:row>
      <xdr:rowOff>22087</xdr:rowOff>
    </xdr:from>
    <xdr:to>
      <xdr:col>2</xdr:col>
      <xdr:colOff>209826</xdr:colOff>
      <xdr:row>11</xdr:row>
      <xdr:rowOff>104913</xdr:rowOff>
    </xdr:to>
    <xdr:sp macro="" textlink="">
      <xdr:nvSpPr>
        <xdr:cNvPr id="208" name="大波 207"/>
        <xdr:cNvSpPr/>
      </xdr:nvSpPr>
      <xdr:spPr>
        <a:xfrm>
          <a:off x="82826" y="1181652"/>
          <a:ext cx="1032565" cy="745435"/>
        </a:xfrm>
        <a:prstGeom prst="wav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ja-JP" altLang="en-US" sz="1100">
              <a:solidFill>
                <a:sysClr val="windowText" lastClr="000000"/>
              </a:solidFill>
            </a:rPr>
            <a:t>徳島工場</a:t>
          </a:r>
        </a:p>
      </xdr:txBody>
    </xdr:sp>
    <xdr:clientData/>
  </xdr:twoCellAnchor>
  <xdr:twoCellAnchor>
    <xdr:from>
      <xdr:col>1</xdr:col>
      <xdr:colOff>300935</xdr:colOff>
      <xdr:row>11</xdr:row>
      <xdr:rowOff>11734</xdr:rowOff>
    </xdr:from>
    <xdr:to>
      <xdr:col>1</xdr:col>
      <xdr:colOff>302382</xdr:colOff>
      <xdr:row>23</xdr:row>
      <xdr:rowOff>0</xdr:rowOff>
    </xdr:to>
    <xdr:cxnSp macro="">
      <xdr:nvCxnSpPr>
        <xdr:cNvPr id="209" name="直線コネクタ 208"/>
        <xdr:cNvCxnSpPr>
          <a:stCxn id="114" idx="0"/>
          <a:endCxn id="208" idx="2"/>
        </xdr:cNvCxnSpPr>
      </xdr:nvCxnSpPr>
      <xdr:spPr>
        <a:xfrm flipH="1" flipV="1">
          <a:off x="599109" y="1833908"/>
          <a:ext cx="1447" cy="1976092"/>
        </a:xfrm>
        <a:prstGeom prst="line">
          <a:avLst/>
        </a:prstGeom>
        <a:ln w="12700">
          <a:solidFill>
            <a:sysClr val="windowText" lastClr="000000"/>
          </a:solidFill>
          <a:headEnd type="stealth"/>
          <a:tail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38652</xdr:colOff>
      <xdr:row>16</xdr:row>
      <xdr:rowOff>33130</xdr:rowOff>
    </xdr:from>
    <xdr:ext cx="533479" cy="264560"/>
    <xdr:sp macro="" textlink="">
      <xdr:nvSpPr>
        <xdr:cNvPr id="213" name="テキスト ボックス 212"/>
        <xdr:cNvSpPr txBox="1"/>
      </xdr:nvSpPr>
      <xdr:spPr>
        <a:xfrm>
          <a:off x="336826" y="2683565"/>
          <a:ext cx="5334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b="1">
              <a:solidFill>
                <a:srgbClr val="FF477C"/>
              </a:solidFill>
              <a:effectLst>
                <a:glow rad="330200">
                  <a:schemeClr val="bg1"/>
                </a:glow>
              </a:effectLst>
            </a:rPr>
            <a:t>TCSSC</a:t>
          </a:r>
          <a:endParaRPr kumimoji="1" lang="ja-JP" altLang="en-US" sz="1100" b="1">
            <a:solidFill>
              <a:srgbClr val="FF477C"/>
            </a:solidFill>
            <a:effectLst>
              <a:glow rad="330200">
                <a:schemeClr val="bg1"/>
              </a:glow>
            </a:effectLst>
          </a:endParaRPr>
        </a:p>
      </xdr:txBody>
    </xdr:sp>
    <xdr:clientData/>
  </xdr:oneCellAnchor>
  <xdr:oneCellAnchor>
    <xdr:from>
      <xdr:col>0</xdr:col>
      <xdr:colOff>162260</xdr:colOff>
      <xdr:row>18</xdr:row>
      <xdr:rowOff>0</xdr:rowOff>
    </xdr:from>
    <xdr:ext cx="892873" cy="275717"/>
    <xdr:sp macro="" textlink="">
      <xdr:nvSpPr>
        <xdr:cNvPr id="214" name="テキスト ボックス 213"/>
        <xdr:cNvSpPr txBox="1"/>
      </xdr:nvSpPr>
      <xdr:spPr>
        <a:xfrm>
          <a:off x="162260" y="2981739"/>
          <a:ext cx="89287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rgbClr val="FF477C"/>
              </a:solidFill>
              <a:effectLst>
                <a:glow rad="330200">
                  <a:schemeClr val="bg1"/>
                </a:glow>
              </a:effectLst>
            </a:rPr>
            <a:t>規格表画像</a:t>
          </a:r>
        </a:p>
      </xdr:txBody>
    </xdr:sp>
    <xdr:clientData/>
  </xdr:oneCellAnchor>
  <xdr:twoCellAnchor>
    <xdr:from>
      <xdr:col>5</xdr:col>
      <xdr:colOff>0</xdr:colOff>
      <xdr:row>2</xdr:row>
      <xdr:rowOff>1</xdr:rowOff>
    </xdr:from>
    <xdr:to>
      <xdr:col>6</xdr:col>
      <xdr:colOff>0</xdr:colOff>
      <xdr:row>2</xdr:row>
      <xdr:rowOff>88349</xdr:rowOff>
    </xdr:to>
    <xdr:sp macro="" textlink="">
      <xdr:nvSpPr>
        <xdr:cNvPr id="216" name="角丸四角形 215"/>
        <xdr:cNvSpPr/>
      </xdr:nvSpPr>
      <xdr:spPr>
        <a:xfrm>
          <a:off x="2727739" y="331305"/>
          <a:ext cx="607391" cy="88348"/>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kumimoji="1" lang="ja-JP" altLang="en-US" sz="1100">
            <a:solidFill>
              <a:sysClr val="windowText" lastClr="000000"/>
            </a:solidFill>
          </a:endParaRPr>
        </a:p>
      </xdr:txBody>
    </xdr:sp>
    <xdr:clientData/>
  </xdr:twoCellAnchor>
  <xdr:twoCellAnchor>
    <xdr:from>
      <xdr:col>5</xdr:col>
      <xdr:colOff>0</xdr:colOff>
      <xdr:row>2</xdr:row>
      <xdr:rowOff>82826</xdr:rowOff>
    </xdr:from>
    <xdr:to>
      <xdr:col>6</xdr:col>
      <xdr:colOff>0</xdr:colOff>
      <xdr:row>3</xdr:row>
      <xdr:rowOff>0</xdr:rowOff>
    </xdr:to>
    <xdr:sp macro="" textlink="">
      <xdr:nvSpPr>
        <xdr:cNvPr id="217" name="角丸四角形 216"/>
        <xdr:cNvSpPr/>
      </xdr:nvSpPr>
      <xdr:spPr>
        <a:xfrm>
          <a:off x="2727739" y="414130"/>
          <a:ext cx="607391" cy="82827"/>
        </a:xfrm>
        <a:prstGeom prst="roundRect">
          <a:avLst/>
        </a:prstGeom>
        <a:solidFill>
          <a:schemeClr val="accent6">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kumimoji="1" lang="ja-JP" altLang="en-US" sz="1100">
            <a:solidFill>
              <a:sysClr val="windowText" lastClr="000000"/>
            </a:solidFill>
          </a:endParaRPr>
        </a:p>
      </xdr:txBody>
    </xdr:sp>
    <xdr:clientData/>
  </xdr:twoCellAnchor>
  <xdr:oneCellAnchor>
    <xdr:from>
      <xdr:col>0</xdr:col>
      <xdr:colOff>184347</xdr:colOff>
      <xdr:row>12</xdr:row>
      <xdr:rowOff>77788</xdr:rowOff>
    </xdr:from>
    <xdr:ext cx="862544" cy="275717"/>
    <xdr:sp macro="" textlink="">
      <xdr:nvSpPr>
        <xdr:cNvPr id="218" name="テキスト ボックス 217"/>
        <xdr:cNvSpPr txBox="1"/>
      </xdr:nvSpPr>
      <xdr:spPr>
        <a:xfrm>
          <a:off x="184347" y="2065614"/>
          <a:ext cx="862544" cy="275717"/>
        </a:xfrm>
        <a:prstGeom prst="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ysClr val="windowText" lastClr="000000"/>
              </a:solidFill>
              <a:effectLst>
                <a:glow rad="330200">
                  <a:schemeClr val="bg1"/>
                </a:glow>
              </a:effectLst>
            </a:rPr>
            <a:t>準完データ</a:t>
          </a:r>
        </a:p>
      </xdr:txBody>
    </xdr:sp>
    <xdr:clientData/>
  </xdr:oneCellAnchor>
  <xdr:oneCellAnchor>
    <xdr:from>
      <xdr:col>7</xdr:col>
      <xdr:colOff>543260</xdr:colOff>
      <xdr:row>1</xdr:row>
      <xdr:rowOff>121478</xdr:rowOff>
    </xdr:from>
    <xdr:ext cx="1908392" cy="275717"/>
    <xdr:sp macro="" textlink="">
      <xdr:nvSpPr>
        <xdr:cNvPr id="61" name="テキスト ボックス 60"/>
        <xdr:cNvSpPr txBox="1"/>
      </xdr:nvSpPr>
      <xdr:spPr>
        <a:xfrm>
          <a:off x="4485782" y="287130"/>
          <a:ext cx="190839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b="1">
              <a:solidFill>
                <a:srgbClr val="FF477C"/>
              </a:solidFill>
              <a:effectLst>
                <a:glow rad="330200">
                  <a:schemeClr val="bg1"/>
                </a:glow>
              </a:effectLst>
            </a:rPr>
            <a:t>※</a:t>
          </a:r>
          <a:r>
            <a:rPr kumimoji="1" lang="ja-JP" altLang="en-US" sz="1100" b="1">
              <a:solidFill>
                <a:srgbClr val="FF477C"/>
              </a:solidFill>
              <a:effectLst>
                <a:glow rad="330200">
                  <a:schemeClr val="bg1"/>
                </a:glow>
              </a:effectLst>
            </a:rPr>
            <a:t>四国部品の協力が必要</a:t>
          </a:r>
        </a:p>
      </xdr:txBody>
    </xdr:sp>
    <xdr:clientData/>
  </xdr:oneCellAnchor>
  <xdr:oneCellAnchor>
    <xdr:from>
      <xdr:col>0</xdr:col>
      <xdr:colOff>193261</xdr:colOff>
      <xdr:row>14</xdr:row>
      <xdr:rowOff>93870</xdr:rowOff>
    </xdr:from>
    <xdr:ext cx="862544" cy="275717"/>
    <xdr:sp macro="" textlink="">
      <xdr:nvSpPr>
        <xdr:cNvPr id="62" name="テキスト ボックス 61"/>
        <xdr:cNvSpPr txBox="1"/>
      </xdr:nvSpPr>
      <xdr:spPr>
        <a:xfrm>
          <a:off x="193261" y="2413000"/>
          <a:ext cx="86254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rgbClr val="FF477C"/>
              </a:solidFill>
              <a:effectLst>
                <a:glow rad="330200">
                  <a:schemeClr val="bg1"/>
                </a:glow>
              </a:effectLst>
            </a:rPr>
            <a:t>切断データ</a:t>
          </a:r>
        </a:p>
      </xdr:txBody>
    </xdr:sp>
    <xdr:clientData/>
  </xdr:oneCellAnchor>
  <xdr:oneCellAnchor>
    <xdr:from>
      <xdr:col>2</xdr:col>
      <xdr:colOff>20319</xdr:colOff>
      <xdr:row>14</xdr:row>
      <xdr:rowOff>91596</xdr:rowOff>
    </xdr:from>
    <xdr:ext cx="465269" cy="275717"/>
    <xdr:sp macro="" textlink="">
      <xdr:nvSpPr>
        <xdr:cNvPr id="58" name="テキスト ボックス 57"/>
        <xdr:cNvSpPr txBox="1"/>
      </xdr:nvSpPr>
      <xdr:spPr>
        <a:xfrm>
          <a:off x="931731" y="2497125"/>
          <a:ext cx="465269"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b="1">
              <a:solidFill>
                <a:srgbClr val="FF477C"/>
              </a:solidFill>
              <a:effectLst>
                <a:glow rad="330200">
                  <a:schemeClr val="bg1"/>
                </a:glow>
              </a:effectLst>
            </a:rPr>
            <a:t>※</a:t>
          </a:r>
          <a:endParaRPr kumimoji="1" lang="ja-JP" altLang="en-US" sz="1100" b="1">
            <a:solidFill>
              <a:srgbClr val="FF477C"/>
            </a:solidFill>
            <a:effectLst>
              <a:glow rad="330200">
                <a:schemeClr val="bg1"/>
              </a:glow>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4</xdr:col>
      <xdr:colOff>0</xdr:colOff>
      <xdr:row>21</xdr:row>
      <xdr:rowOff>0</xdr:rowOff>
    </xdr:from>
    <xdr:to>
      <xdr:col>6</xdr:col>
      <xdr:colOff>0</xdr:colOff>
      <xdr:row>24</xdr:row>
      <xdr:rowOff>0</xdr:rowOff>
    </xdr:to>
    <xdr:sp macro="" textlink="">
      <xdr:nvSpPr>
        <xdr:cNvPr id="133" name="角丸四角形 132"/>
        <xdr:cNvSpPr/>
      </xdr:nvSpPr>
      <xdr:spPr>
        <a:xfrm>
          <a:off x="2120348" y="3478696"/>
          <a:ext cx="1214782" cy="496956"/>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0" bIns="0" rtlCol="0" anchor="ctr" anchorCtr="0"/>
        <a:lstStyle/>
        <a:p>
          <a:pPr algn="ctr"/>
          <a:r>
            <a:rPr kumimoji="1" lang="ja-JP" altLang="en-US" sz="1100">
              <a:solidFill>
                <a:sysClr val="windowText" lastClr="000000"/>
              </a:solidFill>
            </a:rPr>
            <a:t>実績入力システム</a:t>
          </a:r>
          <a:r>
            <a:rPr kumimoji="1" lang="en-US" altLang="ja-JP" sz="1100">
              <a:solidFill>
                <a:sysClr val="windowText" lastClr="000000"/>
              </a:solidFill>
            </a:rPr>
            <a:t/>
          </a:r>
          <a:br>
            <a:rPr kumimoji="1" lang="en-US" altLang="ja-JP" sz="1100">
              <a:solidFill>
                <a:sysClr val="windowText" lastClr="000000"/>
              </a:solidFill>
            </a:rPr>
          </a:br>
          <a:r>
            <a:rPr kumimoji="1" lang="en-US" altLang="ja-JP" sz="1100">
              <a:solidFill>
                <a:sysClr val="windowText" lastClr="000000"/>
              </a:solidFill>
            </a:rPr>
            <a:t>MODE2</a:t>
          </a:r>
          <a:endParaRPr kumimoji="1" lang="ja-JP" altLang="en-US" sz="1100">
            <a:solidFill>
              <a:sysClr val="windowText" lastClr="000000"/>
            </a:solidFill>
          </a:endParaRPr>
        </a:p>
      </xdr:txBody>
    </xdr:sp>
    <xdr:clientData/>
  </xdr:twoCellAnchor>
  <xdr:twoCellAnchor>
    <xdr:from>
      <xdr:col>7</xdr:col>
      <xdr:colOff>0</xdr:colOff>
      <xdr:row>21</xdr:row>
      <xdr:rowOff>0</xdr:rowOff>
    </xdr:from>
    <xdr:to>
      <xdr:col>9</xdr:col>
      <xdr:colOff>0</xdr:colOff>
      <xdr:row>24</xdr:row>
      <xdr:rowOff>0</xdr:rowOff>
    </xdr:to>
    <xdr:sp macro="" textlink="">
      <xdr:nvSpPr>
        <xdr:cNvPr id="134" name="角丸四角形 133"/>
        <xdr:cNvSpPr/>
      </xdr:nvSpPr>
      <xdr:spPr>
        <a:xfrm>
          <a:off x="3942522" y="3478696"/>
          <a:ext cx="1214782" cy="496956"/>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0" bIns="0" rtlCol="0" anchor="ctr" anchorCtr="0"/>
        <a:lstStyle/>
        <a:p>
          <a:pPr algn="ctr"/>
          <a:r>
            <a:rPr kumimoji="1" lang="ja-JP" altLang="en-US" sz="1100">
              <a:solidFill>
                <a:sysClr val="windowText" lastClr="000000"/>
              </a:solidFill>
            </a:rPr>
            <a:t>実績入力システム</a:t>
          </a:r>
          <a:endParaRPr kumimoji="1" lang="en-US" altLang="ja-JP" sz="1100">
            <a:solidFill>
              <a:sysClr val="windowText" lastClr="000000"/>
            </a:solidFill>
          </a:endParaRPr>
        </a:p>
        <a:p>
          <a:pPr algn="ctr"/>
          <a:r>
            <a:rPr kumimoji="1" lang="en-US" altLang="ja-JP" sz="1100">
              <a:solidFill>
                <a:sysClr val="windowText" lastClr="000000"/>
              </a:solidFill>
            </a:rPr>
            <a:t>MODE3</a:t>
          </a:r>
        </a:p>
      </xdr:txBody>
    </xdr:sp>
    <xdr:clientData/>
  </xdr:twoCellAnchor>
  <xdr:twoCellAnchor>
    <xdr:from>
      <xdr:col>1</xdr:col>
      <xdr:colOff>0</xdr:colOff>
      <xdr:row>21</xdr:row>
      <xdr:rowOff>0</xdr:rowOff>
    </xdr:from>
    <xdr:to>
      <xdr:col>2</xdr:col>
      <xdr:colOff>607391</xdr:colOff>
      <xdr:row>24</xdr:row>
      <xdr:rowOff>0</xdr:rowOff>
    </xdr:to>
    <xdr:sp macro="" textlink="">
      <xdr:nvSpPr>
        <xdr:cNvPr id="34" name="角丸四角形 33"/>
        <xdr:cNvSpPr/>
      </xdr:nvSpPr>
      <xdr:spPr>
        <a:xfrm>
          <a:off x="298174" y="3478696"/>
          <a:ext cx="1214782" cy="496956"/>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0" bIns="0" rtlCol="0" anchor="ctr" anchorCtr="0"/>
        <a:lstStyle/>
        <a:p>
          <a:pPr algn="ctr"/>
          <a:r>
            <a:rPr kumimoji="1" lang="ja-JP" altLang="en-US" sz="1100">
              <a:solidFill>
                <a:sysClr val="windowText" lastClr="000000"/>
              </a:solidFill>
            </a:rPr>
            <a:t>実績入力システム</a:t>
          </a:r>
          <a:endParaRPr kumimoji="1" lang="en-US" altLang="ja-JP" sz="1100">
            <a:solidFill>
              <a:sysClr val="windowText" lastClr="000000"/>
            </a:solidFill>
          </a:endParaRPr>
        </a:p>
        <a:p>
          <a:pPr algn="ctr"/>
          <a:r>
            <a:rPr kumimoji="1" lang="en-US" altLang="ja-JP" sz="1100">
              <a:solidFill>
                <a:sysClr val="windowText" lastClr="000000"/>
              </a:solidFill>
            </a:rPr>
            <a:t>MODE1</a:t>
          </a:r>
          <a:endParaRPr kumimoji="1" lang="ja-JP" altLang="en-US" sz="1100">
            <a:solidFill>
              <a:sysClr val="windowText" lastClr="000000"/>
            </a:solidFill>
          </a:endParaRPr>
        </a:p>
      </xdr:txBody>
    </xdr:sp>
    <xdr:clientData/>
  </xdr:twoCellAnchor>
  <xdr:twoCellAnchor>
    <xdr:from>
      <xdr:col>1</xdr:col>
      <xdr:colOff>88348</xdr:colOff>
      <xdr:row>6</xdr:row>
      <xdr:rowOff>0</xdr:rowOff>
    </xdr:from>
    <xdr:to>
      <xdr:col>2</xdr:col>
      <xdr:colOff>513522</xdr:colOff>
      <xdr:row>10</xdr:row>
      <xdr:rowOff>33130</xdr:rowOff>
    </xdr:to>
    <xdr:sp macro="" textlink="">
      <xdr:nvSpPr>
        <xdr:cNvPr id="93" name="大波 92"/>
        <xdr:cNvSpPr/>
      </xdr:nvSpPr>
      <xdr:spPr>
        <a:xfrm>
          <a:off x="386522" y="993913"/>
          <a:ext cx="1032565" cy="695739"/>
        </a:xfrm>
        <a:prstGeom prst="wav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ja-JP" altLang="en-US" sz="1100">
              <a:solidFill>
                <a:sysClr val="windowText" lastClr="000000"/>
              </a:solidFill>
            </a:rPr>
            <a:t>徳島工場</a:t>
          </a:r>
        </a:p>
      </xdr:txBody>
    </xdr:sp>
    <xdr:clientData/>
  </xdr:twoCellAnchor>
  <xdr:twoCellAnchor>
    <xdr:from>
      <xdr:col>3</xdr:col>
      <xdr:colOff>2627</xdr:colOff>
      <xdr:row>14</xdr:row>
      <xdr:rowOff>0</xdr:rowOff>
    </xdr:from>
    <xdr:to>
      <xdr:col>4</xdr:col>
      <xdr:colOff>0</xdr:colOff>
      <xdr:row>18</xdr:row>
      <xdr:rowOff>0</xdr:rowOff>
    </xdr:to>
    <xdr:sp macro="" textlink="">
      <xdr:nvSpPr>
        <xdr:cNvPr id="43" name="正方形/長方形 42"/>
        <xdr:cNvSpPr/>
      </xdr:nvSpPr>
      <xdr:spPr>
        <a:xfrm>
          <a:off x="1515584" y="2319130"/>
          <a:ext cx="604764"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マスター</a:t>
          </a:r>
          <a:endParaRPr kumimoji="1" lang="en-US" altLang="ja-JP" sz="1100">
            <a:solidFill>
              <a:sysClr val="windowText" lastClr="000000"/>
            </a:solidFill>
          </a:endParaRPr>
        </a:p>
        <a:p>
          <a:pPr algn="ctr"/>
          <a:r>
            <a:rPr kumimoji="1" lang="en-US" altLang="ja-JP" sz="1100">
              <a:solidFill>
                <a:sysClr val="windowText" lastClr="000000"/>
              </a:solidFill>
            </a:rPr>
            <a:t>DB</a:t>
          </a:r>
        </a:p>
        <a:p>
          <a:pPr algn="ctr"/>
          <a:r>
            <a:rPr kumimoji="1" lang="en-US" altLang="ja-JP" sz="1100">
              <a:solidFill>
                <a:sysClr val="windowText" lastClr="000000"/>
              </a:solidFill>
            </a:rPr>
            <a:t>(NAS)</a:t>
          </a:r>
        </a:p>
      </xdr:txBody>
    </xdr:sp>
    <xdr:clientData/>
  </xdr:twoCellAnchor>
  <xdr:twoCellAnchor>
    <xdr:from>
      <xdr:col>3</xdr:col>
      <xdr:colOff>607390</xdr:colOff>
      <xdr:row>6</xdr:row>
      <xdr:rowOff>0</xdr:rowOff>
    </xdr:from>
    <xdr:to>
      <xdr:col>6</xdr:col>
      <xdr:colOff>0</xdr:colOff>
      <xdr:row>10</xdr:row>
      <xdr:rowOff>0</xdr:rowOff>
    </xdr:to>
    <xdr:sp macro="" textlink="">
      <xdr:nvSpPr>
        <xdr:cNvPr id="39" name="角丸四角形 38"/>
        <xdr:cNvSpPr/>
      </xdr:nvSpPr>
      <xdr:spPr>
        <a:xfrm>
          <a:off x="2120347" y="993913"/>
          <a:ext cx="1214783" cy="662609"/>
        </a:xfrm>
        <a:prstGeom prst="roundRect">
          <a:avLst/>
        </a:prstGeom>
        <a:solidFill>
          <a:schemeClr val="accent6">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kumimoji="1" lang="ja-JP" altLang="en-US" sz="1100">
              <a:solidFill>
                <a:sysClr val="windowText" lastClr="000000"/>
              </a:solidFill>
            </a:rPr>
            <a:t>かんばん管理</a:t>
          </a:r>
          <a:endParaRPr kumimoji="1" lang="en-US" altLang="ja-JP" sz="1100">
            <a:solidFill>
              <a:sysClr val="windowText" lastClr="000000"/>
            </a:solidFill>
          </a:endParaRPr>
        </a:p>
        <a:p>
          <a:pPr algn="ctr"/>
          <a:r>
            <a:rPr kumimoji="1" lang="ja-JP" altLang="en-US" sz="1100">
              <a:solidFill>
                <a:sysClr val="windowText" lastClr="000000"/>
              </a:solidFill>
            </a:rPr>
            <a:t>システム</a:t>
          </a:r>
        </a:p>
      </xdr:txBody>
    </xdr:sp>
    <xdr:clientData/>
  </xdr:twoCellAnchor>
  <xdr:twoCellAnchor>
    <xdr:from>
      <xdr:col>1</xdr:col>
      <xdr:colOff>0</xdr:colOff>
      <xdr:row>26</xdr:row>
      <xdr:rowOff>0</xdr:rowOff>
    </xdr:from>
    <xdr:to>
      <xdr:col>3</xdr:col>
      <xdr:colOff>0</xdr:colOff>
      <xdr:row>28</xdr:row>
      <xdr:rowOff>159017</xdr:rowOff>
    </xdr:to>
    <xdr:sp macro="" textlink="">
      <xdr:nvSpPr>
        <xdr:cNvPr id="5" name="正方形/長方形 4"/>
        <xdr:cNvSpPr/>
      </xdr:nvSpPr>
      <xdr:spPr>
        <a:xfrm>
          <a:off x="298174" y="4306957"/>
          <a:ext cx="1214783" cy="49032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ログイン</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作業者</a:t>
          </a:r>
          <a:r>
            <a:rPr kumimoji="1" lang="en-US" altLang="ja-JP" sz="1100">
              <a:solidFill>
                <a:sysClr val="windowText" lastClr="000000"/>
              </a:solidFill>
            </a:rPr>
            <a:t>QR)</a:t>
          </a:r>
          <a:endParaRPr kumimoji="1" lang="ja-JP" altLang="en-US" sz="1100">
            <a:solidFill>
              <a:sysClr val="windowText" lastClr="000000"/>
            </a:solidFill>
          </a:endParaRPr>
        </a:p>
      </xdr:txBody>
    </xdr:sp>
    <xdr:clientData/>
  </xdr:twoCellAnchor>
  <xdr:twoCellAnchor>
    <xdr:from>
      <xdr:col>2</xdr:col>
      <xdr:colOff>0</xdr:colOff>
      <xdr:row>24</xdr:row>
      <xdr:rowOff>0</xdr:rowOff>
    </xdr:from>
    <xdr:to>
      <xdr:col>2</xdr:col>
      <xdr:colOff>1</xdr:colOff>
      <xdr:row>26</xdr:row>
      <xdr:rowOff>0</xdr:rowOff>
    </xdr:to>
    <xdr:cxnSp macro="">
      <xdr:nvCxnSpPr>
        <xdr:cNvPr id="6" name="直線コネクタ 5"/>
        <xdr:cNvCxnSpPr>
          <a:stCxn id="5" idx="0"/>
          <a:endCxn id="34" idx="2"/>
        </xdr:cNvCxnSpPr>
      </xdr:nvCxnSpPr>
      <xdr:spPr>
        <a:xfrm flipH="1" flipV="1">
          <a:off x="905565" y="3975652"/>
          <a:ext cx="1" cy="331305"/>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18</xdr:row>
      <xdr:rowOff>0</xdr:rowOff>
    </xdr:from>
    <xdr:to>
      <xdr:col>3</xdr:col>
      <xdr:colOff>305009</xdr:colOff>
      <xdr:row>21</xdr:row>
      <xdr:rowOff>0</xdr:rowOff>
    </xdr:to>
    <xdr:cxnSp macro="">
      <xdr:nvCxnSpPr>
        <xdr:cNvPr id="13" name="直線コネクタ 12"/>
        <xdr:cNvCxnSpPr>
          <a:stCxn id="43" idx="2"/>
          <a:endCxn id="34" idx="0"/>
        </xdr:cNvCxnSpPr>
      </xdr:nvCxnSpPr>
      <xdr:spPr>
        <a:xfrm flipH="1">
          <a:off x="905565" y="2981739"/>
          <a:ext cx="912401" cy="49695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305009</xdr:colOff>
      <xdr:row>10</xdr:row>
      <xdr:rowOff>0</xdr:rowOff>
    </xdr:from>
    <xdr:to>
      <xdr:col>5</xdr:col>
      <xdr:colOff>0</xdr:colOff>
      <xdr:row>14</xdr:row>
      <xdr:rowOff>0</xdr:rowOff>
    </xdr:to>
    <xdr:cxnSp macro="">
      <xdr:nvCxnSpPr>
        <xdr:cNvPr id="18" name="直線コネクタ 17"/>
        <xdr:cNvCxnSpPr>
          <a:stCxn id="43" idx="0"/>
          <a:endCxn id="39" idx="2"/>
        </xdr:cNvCxnSpPr>
      </xdr:nvCxnSpPr>
      <xdr:spPr>
        <a:xfrm flipV="1">
          <a:off x="1817966" y="1656522"/>
          <a:ext cx="909773" cy="662608"/>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305009</xdr:colOff>
      <xdr:row>18</xdr:row>
      <xdr:rowOff>0</xdr:rowOff>
    </xdr:from>
    <xdr:to>
      <xdr:col>8</xdr:col>
      <xdr:colOff>0</xdr:colOff>
      <xdr:row>21</xdr:row>
      <xdr:rowOff>0</xdr:rowOff>
    </xdr:to>
    <xdr:cxnSp macro="">
      <xdr:nvCxnSpPr>
        <xdr:cNvPr id="19" name="直線コネクタ 18"/>
        <xdr:cNvCxnSpPr>
          <a:stCxn id="43" idx="2"/>
          <a:endCxn id="134" idx="0"/>
        </xdr:cNvCxnSpPr>
      </xdr:nvCxnSpPr>
      <xdr:spPr>
        <a:xfrm>
          <a:off x="1817966" y="2981739"/>
          <a:ext cx="2731947" cy="49695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305009</xdr:colOff>
      <xdr:row>18</xdr:row>
      <xdr:rowOff>0</xdr:rowOff>
    </xdr:from>
    <xdr:to>
      <xdr:col>5</xdr:col>
      <xdr:colOff>0</xdr:colOff>
      <xdr:row>21</xdr:row>
      <xdr:rowOff>0</xdr:rowOff>
    </xdr:to>
    <xdr:cxnSp macro="">
      <xdr:nvCxnSpPr>
        <xdr:cNvPr id="21" name="直線コネクタ 20"/>
        <xdr:cNvCxnSpPr>
          <a:stCxn id="43" idx="2"/>
          <a:endCxn id="133" idx="0"/>
        </xdr:cNvCxnSpPr>
      </xdr:nvCxnSpPr>
      <xdr:spPr>
        <a:xfrm>
          <a:off x="1817966" y="2981739"/>
          <a:ext cx="909773" cy="49695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24</xdr:row>
      <xdr:rowOff>0</xdr:rowOff>
    </xdr:from>
    <xdr:to>
      <xdr:col>8</xdr:col>
      <xdr:colOff>1</xdr:colOff>
      <xdr:row>26</xdr:row>
      <xdr:rowOff>0</xdr:rowOff>
    </xdr:to>
    <xdr:cxnSp macro="">
      <xdr:nvCxnSpPr>
        <xdr:cNvPr id="27" name="直線コネクタ 26"/>
        <xdr:cNvCxnSpPr>
          <a:stCxn id="134" idx="2"/>
          <a:endCxn id="221" idx="0"/>
        </xdr:cNvCxnSpPr>
      </xdr:nvCxnSpPr>
      <xdr:spPr>
        <a:xfrm>
          <a:off x="4549913" y="3975652"/>
          <a:ext cx="1" cy="331305"/>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xdr:row>
      <xdr:rowOff>0</xdr:rowOff>
    </xdr:from>
    <xdr:to>
      <xdr:col>6</xdr:col>
      <xdr:colOff>187740</xdr:colOff>
      <xdr:row>13</xdr:row>
      <xdr:rowOff>27610</xdr:rowOff>
    </xdr:to>
    <xdr:cxnSp macro="">
      <xdr:nvCxnSpPr>
        <xdr:cNvPr id="46" name="直線コネクタ 45"/>
        <xdr:cNvCxnSpPr>
          <a:stCxn id="39" idx="2"/>
          <a:endCxn id="47" idx="2"/>
        </xdr:cNvCxnSpPr>
      </xdr:nvCxnSpPr>
      <xdr:spPr>
        <a:xfrm>
          <a:off x="2727739" y="1656522"/>
          <a:ext cx="795131" cy="524566"/>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187740</xdr:colOff>
      <xdr:row>12</xdr:row>
      <xdr:rowOff>27609</xdr:rowOff>
    </xdr:from>
    <xdr:to>
      <xdr:col>7</xdr:col>
      <xdr:colOff>351443</xdr:colOff>
      <xdr:row>14</xdr:row>
      <xdr:rowOff>27610</xdr:rowOff>
    </xdr:to>
    <xdr:sp macro="" textlink="">
      <xdr:nvSpPr>
        <xdr:cNvPr id="47" name="1 つの角を切り取った四角形 46"/>
        <xdr:cNvSpPr/>
      </xdr:nvSpPr>
      <xdr:spPr>
        <a:xfrm>
          <a:off x="3522870" y="2015435"/>
          <a:ext cx="771095" cy="331305"/>
        </a:xfrm>
        <a:prstGeom prst="snip1Rect">
          <a:avLst>
            <a:gd name="adj" fmla="val 3712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r>
            <a:rPr kumimoji="1" lang="ja-JP" altLang="en-US" sz="1100">
              <a:solidFill>
                <a:sysClr val="windowText" lastClr="000000"/>
              </a:solidFill>
            </a:rPr>
            <a:t>かんばん</a:t>
          </a:r>
        </a:p>
      </xdr:txBody>
    </xdr:sp>
    <xdr:clientData/>
  </xdr:twoCellAnchor>
  <xdr:twoCellAnchor>
    <xdr:from>
      <xdr:col>6</xdr:col>
      <xdr:colOff>0</xdr:colOff>
      <xdr:row>15</xdr:row>
      <xdr:rowOff>49695</xdr:rowOff>
    </xdr:from>
    <xdr:to>
      <xdr:col>7</xdr:col>
      <xdr:colOff>276085</xdr:colOff>
      <xdr:row>17</xdr:row>
      <xdr:rowOff>49696</xdr:rowOff>
    </xdr:to>
    <xdr:sp macro="" textlink="">
      <xdr:nvSpPr>
        <xdr:cNvPr id="48" name="1 つの角を切り取った四角形 47"/>
        <xdr:cNvSpPr/>
      </xdr:nvSpPr>
      <xdr:spPr>
        <a:xfrm>
          <a:off x="3335130" y="2534478"/>
          <a:ext cx="883477" cy="331305"/>
        </a:xfrm>
        <a:prstGeom prst="snip1Rect">
          <a:avLst>
            <a:gd name="adj" fmla="val 32576"/>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r>
            <a:rPr kumimoji="1" lang="ja-JP" altLang="en-US" sz="1100">
              <a:solidFill>
                <a:sysClr val="windowText" lastClr="000000"/>
              </a:solidFill>
            </a:rPr>
            <a:t>作業者</a:t>
          </a:r>
          <a:r>
            <a:rPr kumimoji="1" lang="en-US" altLang="ja-JP" sz="1100">
              <a:solidFill>
                <a:sysClr val="windowText" lastClr="000000"/>
              </a:solidFill>
            </a:rPr>
            <a:t>QR</a:t>
          </a:r>
          <a:endParaRPr kumimoji="1" lang="ja-JP" altLang="en-US" sz="1100">
            <a:solidFill>
              <a:sysClr val="windowText" lastClr="000000"/>
            </a:solidFill>
          </a:endParaRPr>
        </a:p>
      </xdr:txBody>
    </xdr:sp>
    <xdr:clientData/>
  </xdr:twoCellAnchor>
  <xdr:twoCellAnchor>
    <xdr:from>
      <xdr:col>5</xdr:col>
      <xdr:colOff>0</xdr:colOff>
      <xdr:row>10</xdr:row>
      <xdr:rowOff>0</xdr:rowOff>
    </xdr:from>
    <xdr:to>
      <xdr:col>6</xdr:col>
      <xdr:colOff>0</xdr:colOff>
      <xdr:row>16</xdr:row>
      <xdr:rowOff>49696</xdr:rowOff>
    </xdr:to>
    <xdr:cxnSp macro="">
      <xdr:nvCxnSpPr>
        <xdr:cNvPr id="49" name="直線コネクタ 48"/>
        <xdr:cNvCxnSpPr>
          <a:stCxn id="39" idx="2"/>
          <a:endCxn id="48" idx="2"/>
        </xdr:cNvCxnSpPr>
      </xdr:nvCxnSpPr>
      <xdr:spPr>
        <a:xfrm>
          <a:off x="2727739" y="1656522"/>
          <a:ext cx="607391" cy="1043609"/>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xdr:row>
      <xdr:rowOff>0</xdr:rowOff>
    </xdr:from>
    <xdr:to>
      <xdr:col>1</xdr:col>
      <xdr:colOff>608852</xdr:colOff>
      <xdr:row>5</xdr:row>
      <xdr:rowOff>0</xdr:rowOff>
    </xdr:to>
    <xdr:sp macro="" textlink="">
      <xdr:nvSpPr>
        <xdr:cNvPr id="50" name="1 つの角を切り取った四角形 49"/>
        <xdr:cNvSpPr/>
      </xdr:nvSpPr>
      <xdr:spPr>
        <a:xfrm>
          <a:off x="298450" y="660400"/>
          <a:ext cx="608852" cy="165100"/>
        </a:xfrm>
        <a:prstGeom prst="snip1Rect">
          <a:avLst>
            <a:gd name="adj" fmla="val 38258"/>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rIns="0" rtlCol="0" anchor="ctr"/>
        <a:lstStyle/>
        <a:p>
          <a:pPr algn="ctr"/>
          <a:endParaRPr kumimoji="1" lang="ja-JP" altLang="en-US" sz="1100">
            <a:solidFill>
              <a:sysClr val="windowText" lastClr="000000"/>
            </a:solidFill>
          </a:endParaRPr>
        </a:p>
      </xdr:txBody>
    </xdr:sp>
    <xdr:clientData/>
  </xdr:twoCellAnchor>
  <xdr:twoCellAnchor>
    <xdr:from>
      <xdr:col>2</xdr:col>
      <xdr:colOff>513522</xdr:colOff>
      <xdr:row>8</xdr:row>
      <xdr:rowOff>1</xdr:rowOff>
    </xdr:from>
    <xdr:to>
      <xdr:col>3</xdr:col>
      <xdr:colOff>607390</xdr:colOff>
      <xdr:row>8</xdr:row>
      <xdr:rowOff>16566</xdr:rowOff>
    </xdr:to>
    <xdr:cxnSp macro="">
      <xdr:nvCxnSpPr>
        <xdr:cNvPr id="52" name="直線コネクタ 51"/>
        <xdr:cNvCxnSpPr>
          <a:stCxn id="39" idx="1"/>
          <a:endCxn id="93" idx="3"/>
        </xdr:cNvCxnSpPr>
      </xdr:nvCxnSpPr>
      <xdr:spPr>
        <a:xfrm flipH="1">
          <a:off x="1419087" y="1325218"/>
          <a:ext cx="701260" cy="16565"/>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416261</xdr:colOff>
      <xdr:row>8</xdr:row>
      <xdr:rowOff>16565</xdr:rowOff>
    </xdr:from>
    <xdr:ext cx="892873" cy="275717"/>
    <xdr:sp macro="" textlink="">
      <xdr:nvSpPr>
        <xdr:cNvPr id="54" name="テキスト ボックス 53"/>
        <xdr:cNvSpPr txBox="1"/>
      </xdr:nvSpPr>
      <xdr:spPr>
        <a:xfrm>
          <a:off x="1321826" y="1341782"/>
          <a:ext cx="89287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rgbClr val="FF477C"/>
              </a:solidFill>
              <a:effectLst>
                <a:glow rad="330200">
                  <a:schemeClr val="bg1"/>
                </a:glow>
              </a:effectLst>
            </a:rPr>
            <a:t>規格表画像</a:t>
          </a:r>
        </a:p>
      </xdr:txBody>
    </xdr:sp>
    <xdr:clientData/>
  </xdr:oneCellAnchor>
  <xdr:twoCellAnchor>
    <xdr:from>
      <xdr:col>5</xdr:col>
      <xdr:colOff>0</xdr:colOff>
      <xdr:row>2</xdr:row>
      <xdr:rowOff>1</xdr:rowOff>
    </xdr:from>
    <xdr:to>
      <xdr:col>6</xdr:col>
      <xdr:colOff>0</xdr:colOff>
      <xdr:row>2</xdr:row>
      <xdr:rowOff>88349</xdr:rowOff>
    </xdr:to>
    <xdr:sp macro="" textlink="">
      <xdr:nvSpPr>
        <xdr:cNvPr id="56" name="角丸四角形 55"/>
        <xdr:cNvSpPr/>
      </xdr:nvSpPr>
      <xdr:spPr>
        <a:xfrm>
          <a:off x="2736850" y="330201"/>
          <a:ext cx="609600" cy="88348"/>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kumimoji="1" lang="ja-JP" altLang="en-US" sz="1100">
            <a:solidFill>
              <a:sysClr val="windowText" lastClr="000000"/>
            </a:solidFill>
          </a:endParaRPr>
        </a:p>
      </xdr:txBody>
    </xdr:sp>
    <xdr:clientData/>
  </xdr:twoCellAnchor>
  <xdr:twoCellAnchor>
    <xdr:from>
      <xdr:col>5</xdr:col>
      <xdr:colOff>0</xdr:colOff>
      <xdr:row>2</xdr:row>
      <xdr:rowOff>82826</xdr:rowOff>
    </xdr:from>
    <xdr:to>
      <xdr:col>6</xdr:col>
      <xdr:colOff>0</xdr:colOff>
      <xdr:row>3</xdr:row>
      <xdr:rowOff>0</xdr:rowOff>
    </xdr:to>
    <xdr:sp macro="" textlink="">
      <xdr:nvSpPr>
        <xdr:cNvPr id="57" name="角丸四角形 56"/>
        <xdr:cNvSpPr/>
      </xdr:nvSpPr>
      <xdr:spPr>
        <a:xfrm>
          <a:off x="2736850" y="413026"/>
          <a:ext cx="609600" cy="82274"/>
        </a:xfrm>
        <a:prstGeom prst="roundRect">
          <a:avLst/>
        </a:prstGeom>
        <a:solidFill>
          <a:schemeClr val="accent6">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kumimoji="1" lang="ja-JP" altLang="en-US" sz="1100">
            <a:solidFill>
              <a:sysClr val="windowText" lastClr="000000"/>
            </a:solidFill>
          </a:endParaRPr>
        </a:p>
      </xdr:txBody>
    </xdr:sp>
    <xdr:clientData/>
  </xdr:twoCellAnchor>
  <xdr:oneCellAnchor>
    <xdr:from>
      <xdr:col>7</xdr:col>
      <xdr:colOff>543259</xdr:colOff>
      <xdr:row>1</xdr:row>
      <xdr:rowOff>121478</xdr:rowOff>
    </xdr:from>
    <xdr:ext cx="2388783" cy="275717"/>
    <xdr:sp macro="" textlink="">
      <xdr:nvSpPr>
        <xdr:cNvPr id="59" name="テキスト ボックス 58"/>
        <xdr:cNvSpPr txBox="1"/>
      </xdr:nvSpPr>
      <xdr:spPr>
        <a:xfrm>
          <a:off x="4485781" y="287130"/>
          <a:ext cx="238878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b="1">
              <a:solidFill>
                <a:srgbClr val="FF477C"/>
              </a:solidFill>
              <a:effectLst>
                <a:glow rad="330200">
                  <a:schemeClr val="bg1"/>
                </a:glow>
              </a:effectLst>
            </a:rPr>
            <a:t>※</a:t>
          </a:r>
          <a:r>
            <a:rPr kumimoji="1" lang="ja-JP" altLang="en-US" sz="1100" b="1">
              <a:solidFill>
                <a:srgbClr val="FF477C"/>
              </a:solidFill>
              <a:effectLst>
                <a:glow rad="330200">
                  <a:schemeClr val="bg1"/>
                </a:glow>
              </a:effectLst>
            </a:rPr>
            <a:t>四国部品㈱様の協力が必要</a:t>
          </a:r>
        </a:p>
      </xdr:txBody>
    </xdr:sp>
    <xdr:clientData/>
  </xdr:oneCellAnchor>
  <xdr:oneCellAnchor>
    <xdr:from>
      <xdr:col>2</xdr:col>
      <xdr:colOff>447262</xdr:colOff>
      <xdr:row>6</xdr:row>
      <xdr:rowOff>71783</xdr:rowOff>
    </xdr:from>
    <xdr:ext cx="862544" cy="275717"/>
    <xdr:sp macro="" textlink="">
      <xdr:nvSpPr>
        <xdr:cNvPr id="60" name="テキスト ボックス 59"/>
        <xdr:cNvSpPr txBox="1"/>
      </xdr:nvSpPr>
      <xdr:spPr>
        <a:xfrm>
          <a:off x="1352827" y="1065696"/>
          <a:ext cx="86254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rgbClr val="FF477C"/>
              </a:solidFill>
              <a:effectLst>
                <a:glow rad="330200">
                  <a:schemeClr val="bg1"/>
                </a:glow>
              </a:effectLst>
            </a:rPr>
            <a:t>切断データ</a:t>
          </a:r>
        </a:p>
      </xdr:txBody>
    </xdr:sp>
    <xdr:clientData/>
  </xdr:oneCellAnchor>
  <xdr:twoCellAnchor>
    <xdr:from>
      <xdr:col>1</xdr:col>
      <xdr:colOff>604631</xdr:colOff>
      <xdr:row>9</xdr:row>
      <xdr:rowOff>111815</xdr:rowOff>
    </xdr:from>
    <xdr:to>
      <xdr:col>3</xdr:col>
      <xdr:colOff>305009</xdr:colOff>
      <xdr:row>14</xdr:row>
      <xdr:rowOff>0</xdr:rowOff>
    </xdr:to>
    <xdr:cxnSp macro="">
      <xdr:nvCxnSpPr>
        <xdr:cNvPr id="107" name="直線コネクタ 106"/>
        <xdr:cNvCxnSpPr>
          <a:stCxn id="43" idx="0"/>
          <a:endCxn id="93" idx="2"/>
        </xdr:cNvCxnSpPr>
      </xdr:nvCxnSpPr>
      <xdr:spPr>
        <a:xfrm flipH="1" flipV="1">
          <a:off x="902805" y="1602685"/>
          <a:ext cx="915161" cy="716445"/>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31</xdr:row>
      <xdr:rowOff>0</xdr:rowOff>
    </xdr:from>
    <xdr:to>
      <xdr:col>3</xdr:col>
      <xdr:colOff>0</xdr:colOff>
      <xdr:row>35</xdr:row>
      <xdr:rowOff>0</xdr:rowOff>
    </xdr:to>
    <xdr:sp macro="" textlink="">
      <xdr:nvSpPr>
        <xdr:cNvPr id="124" name="正方形/長方形 123"/>
        <xdr:cNvSpPr/>
      </xdr:nvSpPr>
      <xdr:spPr>
        <a:xfrm>
          <a:off x="298174" y="5135217"/>
          <a:ext cx="1214783"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かんばん毎</a:t>
          </a:r>
          <a:endParaRPr kumimoji="1" lang="en-US" altLang="ja-JP" sz="1100">
            <a:solidFill>
              <a:sysClr val="windowText" lastClr="000000"/>
            </a:solidFill>
          </a:endParaRPr>
        </a:p>
        <a:p>
          <a:pPr algn="ctr"/>
          <a:r>
            <a:rPr kumimoji="1" lang="ja-JP" altLang="en-US" sz="1100">
              <a:solidFill>
                <a:sysClr val="windowText" lastClr="000000"/>
              </a:solidFill>
            </a:rPr>
            <a:t>条件変更毎</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かんばん</a:t>
          </a:r>
          <a:r>
            <a:rPr kumimoji="1" lang="en-US" altLang="ja-JP" sz="1100">
              <a:solidFill>
                <a:sysClr val="windowText" lastClr="000000"/>
              </a:solidFill>
            </a:rPr>
            <a:t>)</a:t>
          </a:r>
          <a:endParaRPr kumimoji="1" lang="ja-JP" altLang="en-US" sz="1100">
            <a:solidFill>
              <a:sysClr val="windowText" lastClr="000000"/>
            </a:solidFill>
          </a:endParaRPr>
        </a:p>
      </xdr:txBody>
    </xdr:sp>
    <xdr:clientData/>
  </xdr:twoCellAnchor>
  <xdr:twoCellAnchor>
    <xdr:from>
      <xdr:col>2</xdr:col>
      <xdr:colOff>1</xdr:colOff>
      <xdr:row>28</xdr:row>
      <xdr:rowOff>159017</xdr:rowOff>
    </xdr:from>
    <xdr:to>
      <xdr:col>2</xdr:col>
      <xdr:colOff>1</xdr:colOff>
      <xdr:row>31</xdr:row>
      <xdr:rowOff>0</xdr:rowOff>
    </xdr:to>
    <xdr:cxnSp macro="">
      <xdr:nvCxnSpPr>
        <xdr:cNvPr id="125" name="直線コネクタ 124"/>
        <xdr:cNvCxnSpPr>
          <a:stCxn id="124" idx="0"/>
          <a:endCxn id="5" idx="2"/>
        </xdr:cNvCxnSpPr>
      </xdr:nvCxnSpPr>
      <xdr:spPr>
        <a:xfrm flipV="1">
          <a:off x="905566" y="4797278"/>
          <a:ext cx="0" cy="337939"/>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198784</xdr:colOff>
      <xdr:row>10</xdr:row>
      <xdr:rowOff>160130</xdr:rowOff>
    </xdr:from>
    <xdr:ext cx="533479" cy="264560"/>
    <xdr:sp macro="" textlink="">
      <xdr:nvSpPr>
        <xdr:cNvPr id="53" name="テキスト ボックス 52"/>
        <xdr:cNvSpPr txBox="1"/>
      </xdr:nvSpPr>
      <xdr:spPr>
        <a:xfrm>
          <a:off x="1104349" y="1816652"/>
          <a:ext cx="5334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b="1">
              <a:solidFill>
                <a:srgbClr val="FF477C"/>
              </a:solidFill>
              <a:effectLst>
                <a:glow rad="330200">
                  <a:schemeClr val="bg1"/>
                </a:glow>
              </a:effectLst>
            </a:rPr>
            <a:t>TCSSC</a:t>
          </a:r>
          <a:endParaRPr kumimoji="1" lang="ja-JP" altLang="en-US" sz="1100" b="1">
            <a:solidFill>
              <a:srgbClr val="FF477C"/>
            </a:solidFill>
            <a:effectLst>
              <a:glow rad="330200">
                <a:schemeClr val="bg1"/>
              </a:glow>
            </a:effectLst>
          </a:endParaRPr>
        </a:p>
      </xdr:txBody>
    </xdr:sp>
    <xdr:clientData/>
  </xdr:oneCellAnchor>
  <xdr:twoCellAnchor>
    <xdr:from>
      <xdr:col>1</xdr:col>
      <xdr:colOff>0</xdr:colOff>
      <xdr:row>37</xdr:row>
      <xdr:rowOff>0</xdr:rowOff>
    </xdr:from>
    <xdr:to>
      <xdr:col>3</xdr:col>
      <xdr:colOff>0</xdr:colOff>
      <xdr:row>41</xdr:row>
      <xdr:rowOff>0</xdr:rowOff>
    </xdr:to>
    <xdr:sp macro="" textlink="">
      <xdr:nvSpPr>
        <xdr:cNvPr id="207" name="正方形/長方形 206"/>
        <xdr:cNvSpPr/>
      </xdr:nvSpPr>
      <xdr:spPr>
        <a:xfrm>
          <a:off x="298174" y="6129130"/>
          <a:ext cx="1214783"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端子ロット変更毎</a:t>
          </a:r>
          <a:endParaRPr kumimoji="1" lang="en-US" altLang="ja-JP" sz="1100">
            <a:solidFill>
              <a:sysClr val="windowText" lastClr="000000"/>
            </a:solidFill>
          </a:endParaRPr>
        </a:p>
        <a:p>
          <a:pPr algn="ctr"/>
          <a:r>
            <a:rPr kumimoji="1" lang="ja-JP" altLang="en-US" sz="1100">
              <a:solidFill>
                <a:sysClr val="windowText" lastClr="000000"/>
              </a:solidFill>
            </a:rPr>
            <a:t>端子交換毎</a:t>
          </a:r>
        </a:p>
      </xdr:txBody>
    </xdr:sp>
    <xdr:clientData/>
  </xdr:twoCellAnchor>
  <xdr:twoCellAnchor>
    <xdr:from>
      <xdr:col>2</xdr:col>
      <xdr:colOff>0</xdr:colOff>
      <xdr:row>35</xdr:row>
      <xdr:rowOff>0</xdr:rowOff>
    </xdr:from>
    <xdr:to>
      <xdr:col>2</xdr:col>
      <xdr:colOff>0</xdr:colOff>
      <xdr:row>37</xdr:row>
      <xdr:rowOff>6635</xdr:rowOff>
    </xdr:to>
    <xdr:cxnSp macro="">
      <xdr:nvCxnSpPr>
        <xdr:cNvPr id="210" name="直線コネクタ 209"/>
        <xdr:cNvCxnSpPr/>
      </xdr:nvCxnSpPr>
      <xdr:spPr>
        <a:xfrm flipV="1">
          <a:off x="905565" y="5797826"/>
          <a:ext cx="0" cy="337939"/>
        </a:xfrm>
        <a:prstGeom prst="line">
          <a:avLst/>
        </a:prstGeom>
        <a:ln w="12700">
          <a:solidFill>
            <a:sysClr val="windowText" lastClr="000000"/>
          </a:solidFill>
          <a:headEnd type="triangle"/>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26</xdr:row>
      <xdr:rowOff>0</xdr:rowOff>
    </xdr:from>
    <xdr:to>
      <xdr:col>9</xdr:col>
      <xdr:colOff>1</xdr:colOff>
      <xdr:row>28</xdr:row>
      <xdr:rowOff>159017</xdr:rowOff>
    </xdr:to>
    <xdr:sp macro="" textlink="">
      <xdr:nvSpPr>
        <xdr:cNvPr id="221" name="正方形/長方形 220"/>
        <xdr:cNvSpPr/>
      </xdr:nvSpPr>
      <xdr:spPr>
        <a:xfrm>
          <a:off x="3942522" y="4306957"/>
          <a:ext cx="1214783" cy="49032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ログイン</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作業者</a:t>
          </a:r>
          <a:r>
            <a:rPr kumimoji="1" lang="en-US" altLang="ja-JP" sz="1100">
              <a:solidFill>
                <a:sysClr val="windowText" lastClr="000000"/>
              </a:solidFill>
            </a:rPr>
            <a:t>QR)</a:t>
          </a:r>
          <a:endParaRPr kumimoji="1" lang="ja-JP" altLang="en-US" sz="1100">
            <a:solidFill>
              <a:sysClr val="windowText" lastClr="000000"/>
            </a:solidFill>
          </a:endParaRPr>
        </a:p>
      </xdr:txBody>
    </xdr:sp>
    <xdr:clientData/>
  </xdr:twoCellAnchor>
  <xdr:twoCellAnchor>
    <xdr:from>
      <xdr:col>6</xdr:col>
      <xdr:colOff>607391</xdr:colOff>
      <xdr:row>31</xdr:row>
      <xdr:rowOff>0</xdr:rowOff>
    </xdr:from>
    <xdr:to>
      <xdr:col>9</xdr:col>
      <xdr:colOff>0</xdr:colOff>
      <xdr:row>35</xdr:row>
      <xdr:rowOff>0</xdr:rowOff>
    </xdr:to>
    <xdr:sp macro="" textlink="">
      <xdr:nvSpPr>
        <xdr:cNvPr id="224" name="正方形/長方形 223"/>
        <xdr:cNvSpPr/>
      </xdr:nvSpPr>
      <xdr:spPr>
        <a:xfrm>
          <a:off x="3942521" y="5135217"/>
          <a:ext cx="1214783"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かんばん毎</a:t>
          </a:r>
          <a:endParaRPr kumimoji="1" lang="en-US" altLang="ja-JP" sz="1100">
            <a:solidFill>
              <a:sysClr val="windowText" lastClr="000000"/>
            </a:solidFill>
          </a:endParaRPr>
        </a:p>
        <a:p>
          <a:pPr algn="ctr"/>
          <a:r>
            <a:rPr kumimoji="1" lang="ja-JP" altLang="en-US" sz="1100">
              <a:solidFill>
                <a:sysClr val="windowText" lastClr="000000"/>
              </a:solidFill>
            </a:rPr>
            <a:t>条件変更毎</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かんばん</a:t>
          </a:r>
          <a:r>
            <a:rPr kumimoji="1" lang="en-US" altLang="ja-JP" sz="1100">
              <a:solidFill>
                <a:sysClr val="windowText" lastClr="000000"/>
              </a:solidFill>
            </a:rPr>
            <a:t>)</a:t>
          </a:r>
          <a:endParaRPr kumimoji="1" lang="ja-JP" altLang="en-US" sz="1100">
            <a:solidFill>
              <a:sysClr val="windowText" lastClr="000000"/>
            </a:solidFill>
          </a:endParaRPr>
        </a:p>
      </xdr:txBody>
    </xdr:sp>
    <xdr:clientData/>
  </xdr:twoCellAnchor>
  <xdr:twoCellAnchor>
    <xdr:from>
      <xdr:col>6</xdr:col>
      <xdr:colOff>607391</xdr:colOff>
      <xdr:row>37</xdr:row>
      <xdr:rowOff>0</xdr:rowOff>
    </xdr:from>
    <xdr:to>
      <xdr:col>9</xdr:col>
      <xdr:colOff>0</xdr:colOff>
      <xdr:row>41</xdr:row>
      <xdr:rowOff>0</xdr:rowOff>
    </xdr:to>
    <xdr:sp macro="" textlink="">
      <xdr:nvSpPr>
        <xdr:cNvPr id="225" name="正方形/長方形 224"/>
        <xdr:cNvSpPr/>
      </xdr:nvSpPr>
      <xdr:spPr>
        <a:xfrm>
          <a:off x="3942521" y="6129130"/>
          <a:ext cx="1214783"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en-US" altLang="ja-JP" sz="1100">
              <a:solidFill>
                <a:sysClr val="windowText" lastClr="000000"/>
              </a:solidFill>
            </a:rPr>
            <a:t>9500</a:t>
          </a:r>
          <a:r>
            <a:rPr kumimoji="1" lang="ja-JP" altLang="en-US" sz="1100">
              <a:solidFill>
                <a:sysClr val="windowText" lastClr="000000"/>
              </a:solidFill>
            </a:rPr>
            <a:t>に</a:t>
          </a:r>
          <a:endParaRPr kumimoji="1" lang="en-US" altLang="ja-JP" sz="1100">
            <a:solidFill>
              <a:sysClr val="windowText" lastClr="000000"/>
            </a:solidFill>
          </a:endParaRPr>
        </a:p>
        <a:p>
          <a:pPr algn="ctr"/>
          <a:r>
            <a:rPr kumimoji="1" lang="ja-JP" altLang="en-US" sz="1100">
              <a:solidFill>
                <a:sysClr val="windowText" lastClr="000000"/>
              </a:solidFill>
            </a:rPr>
            <a:t>切断条件を送信</a:t>
          </a:r>
        </a:p>
      </xdr:txBody>
    </xdr:sp>
    <xdr:clientData/>
  </xdr:twoCellAnchor>
  <xdr:twoCellAnchor>
    <xdr:from>
      <xdr:col>8</xdr:col>
      <xdr:colOff>0</xdr:colOff>
      <xdr:row>28</xdr:row>
      <xdr:rowOff>159017</xdr:rowOff>
    </xdr:from>
    <xdr:to>
      <xdr:col>8</xdr:col>
      <xdr:colOff>1</xdr:colOff>
      <xdr:row>31</xdr:row>
      <xdr:rowOff>0</xdr:rowOff>
    </xdr:to>
    <xdr:cxnSp macro="">
      <xdr:nvCxnSpPr>
        <xdr:cNvPr id="226" name="直線コネクタ 225"/>
        <xdr:cNvCxnSpPr>
          <a:stCxn id="221" idx="2"/>
          <a:endCxn id="224" idx="0"/>
        </xdr:cNvCxnSpPr>
      </xdr:nvCxnSpPr>
      <xdr:spPr>
        <a:xfrm flipH="1">
          <a:off x="4549913" y="4797278"/>
          <a:ext cx="1" cy="337939"/>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35</xdr:row>
      <xdr:rowOff>0</xdr:rowOff>
    </xdr:from>
    <xdr:to>
      <xdr:col>8</xdr:col>
      <xdr:colOff>0</xdr:colOff>
      <xdr:row>37</xdr:row>
      <xdr:rowOff>0</xdr:rowOff>
    </xdr:to>
    <xdr:cxnSp macro="">
      <xdr:nvCxnSpPr>
        <xdr:cNvPr id="229" name="直線コネクタ 228"/>
        <xdr:cNvCxnSpPr>
          <a:stCxn id="224" idx="2"/>
          <a:endCxn id="225" idx="0"/>
        </xdr:cNvCxnSpPr>
      </xdr:nvCxnSpPr>
      <xdr:spPr>
        <a:xfrm>
          <a:off x="4549913" y="5797826"/>
          <a:ext cx="0" cy="331304"/>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24</xdr:row>
      <xdr:rowOff>0</xdr:rowOff>
    </xdr:from>
    <xdr:to>
      <xdr:col>5</xdr:col>
      <xdr:colOff>1</xdr:colOff>
      <xdr:row>26</xdr:row>
      <xdr:rowOff>0</xdr:rowOff>
    </xdr:to>
    <xdr:cxnSp macro="">
      <xdr:nvCxnSpPr>
        <xdr:cNvPr id="233" name="直線コネクタ 232"/>
        <xdr:cNvCxnSpPr>
          <a:endCxn id="234" idx="0"/>
        </xdr:cNvCxnSpPr>
      </xdr:nvCxnSpPr>
      <xdr:spPr>
        <a:xfrm>
          <a:off x="2727739" y="3975652"/>
          <a:ext cx="1" cy="331305"/>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26</xdr:row>
      <xdr:rowOff>0</xdr:rowOff>
    </xdr:from>
    <xdr:to>
      <xdr:col>6</xdr:col>
      <xdr:colOff>1</xdr:colOff>
      <xdr:row>28</xdr:row>
      <xdr:rowOff>159017</xdr:rowOff>
    </xdr:to>
    <xdr:sp macro="" textlink="">
      <xdr:nvSpPr>
        <xdr:cNvPr id="234" name="正方形/長方形 233"/>
        <xdr:cNvSpPr/>
      </xdr:nvSpPr>
      <xdr:spPr>
        <a:xfrm>
          <a:off x="2120348" y="4306957"/>
          <a:ext cx="1214783" cy="49032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ログイン</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作業者</a:t>
          </a:r>
          <a:r>
            <a:rPr kumimoji="1" lang="en-US" altLang="ja-JP" sz="1100">
              <a:solidFill>
                <a:sysClr val="windowText" lastClr="000000"/>
              </a:solidFill>
            </a:rPr>
            <a:t>QR)</a:t>
          </a:r>
          <a:endParaRPr kumimoji="1" lang="ja-JP" altLang="en-US" sz="1100">
            <a:solidFill>
              <a:sysClr val="windowText" lastClr="000000"/>
            </a:solidFill>
          </a:endParaRPr>
        </a:p>
      </xdr:txBody>
    </xdr:sp>
    <xdr:clientData/>
  </xdr:twoCellAnchor>
  <xdr:twoCellAnchor>
    <xdr:from>
      <xdr:col>3</xdr:col>
      <xdr:colOff>607390</xdr:colOff>
      <xdr:row>31</xdr:row>
      <xdr:rowOff>0</xdr:rowOff>
    </xdr:from>
    <xdr:to>
      <xdr:col>6</xdr:col>
      <xdr:colOff>0</xdr:colOff>
      <xdr:row>35</xdr:row>
      <xdr:rowOff>0</xdr:rowOff>
    </xdr:to>
    <xdr:sp macro="" textlink="">
      <xdr:nvSpPr>
        <xdr:cNvPr id="235" name="正方形/長方形 234"/>
        <xdr:cNvSpPr/>
      </xdr:nvSpPr>
      <xdr:spPr>
        <a:xfrm>
          <a:off x="2120347" y="5135217"/>
          <a:ext cx="1214783"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かんばん毎</a:t>
          </a:r>
          <a:endParaRPr kumimoji="1" lang="en-US" altLang="ja-JP" sz="1100">
            <a:solidFill>
              <a:sysClr val="windowText" lastClr="000000"/>
            </a:solidFill>
          </a:endParaRPr>
        </a:p>
        <a:p>
          <a:pPr algn="ctr"/>
          <a:r>
            <a:rPr kumimoji="1" lang="ja-JP" altLang="en-US" sz="1100">
              <a:solidFill>
                <a:sysClr val="windowText" lastClr="000000"/>
              </a:solidFill>
            </a:rPr>
            <a:t>条件変更毎</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かんばん</a:t>
          </a:r>
          <a:r>
            <a:rPr kumimoji="1" lang="en-US" altLang="ja-JP" sz="1100">
              <a:solidFill>
                <a:sysClr val="windowText" lastClr="000000"/>
              </a:solidFill>
            </a:rPr>
            <a:t>)</a:t>
          </a:r>
          <a:endParaRPr kumimoji="1" lang="ja-JP" altLang="en-US" sz="1100">
            <a:solidFill>
              <a:sysClr val="windowText" lastClr="000000"/>
            </a:solidFill>
          </a:endParaRPr>
        </a:p>
      </xdr:txBody>
    </xdr:sp>
    <xdr:clientData/>
  </xdr:twoCellAnchor>
  <xdr:twoCellAnchor>
    <xdr:from>
      <xdr:col>5</xdr:col>
      <xdr:colOff>0</xdr:colOff>
      <xdr:row>28</xdr:row>
      <xdr:rowOff>159017</xdr:rowOff>
    </xdr:from>
    <xdr:to>
      <xdr:col>5</xdr:col>
      <xdr:colOff>1</xdr:colOff>
      <xdr:row>31</xdr:row>
      <xdr:rowOff>0</xdr:rowOff>
    </xdr:to>
    <xdr:cxnSp macro="">
      <xdr:nvCxnSpPr>
        <xdr:cNvPr id="236" name="直線コネクタ 235"/>
        <xdr:cNvCxnSpPr>
          <a:stCxn id="234" idx="2"/>
          <a:endCxn id="235" idx="0"/>
        </xdr:cNvCxnSpPr>
      </xdr:nvCxnSpPr>
      <xdr:spPr>
        <a:xfrm flipH="1">
          <a:off x="2727739" y="4797278"/>
          <a:ext cx="1" cy="337939"/>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12</xdr:col>
      <xdr:colOff>0</xdr:colOff>
      <xdr:row>24</xdr:row>
      <xdr:rowOff>0</xdr:rowOff>
    </xdr:to>
    <xdr:sp macro="" textlink="">
      <xdr:nvSpPr>
        <xdr:cNvPr id="241" name="角丸四角形 240"/>
        <xdr:cNvSpPr/>
      </xdr:nvSpPr>
      <xdr:spPr>
        <a:xfrm>
          <a:off x="5764696" y="3478696"/>
          <a:ext cx="1214782" cy="496956"/>
        </a:xfrm>
        <a:prstGeom prst="roundRect">
          <a:avLst/>
        </a:prstGeom>
        <a:solidFill>
          <a:srgbClr val="CC99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0" bIns="0" rtlCol="0" anchor="ctr" anchorCtr="0"/>
        <a:lstStyle/>
        <a:p>
          <a:pPr algn="ctr"/>
          <a:r>
            <a:rPr kumimoji="1" lang="ja-JP" altLang="en-US" sz="1100">
              <a:solidFill>
                <a:sysClr val="windowText" lastClr="000000"/>
              </a:solidFill>
            </a:rPr>
            <a:t>実績入力システム</a:t>
          </a:r>
          <a:endParaRPr kumimoji="1" lang="en-US" altLang="ja-JP" sz="1100">
            <a:solidFill>
              <a:sysClr val="windowText" lastClr="000000"/>
            </a:solidFill>
          </a:endParaRPr>
        </a:p>
        <a:p>
          <a:pPr algn="ctr"/>
          <a:r>
            <a:rPr kumimoji="1" lang="en-US" altLang="ja-JP" sz="1100">
              <a:solidFill>
                <a:sysClr val="windowText" lastClr="000000"/>
              </a:solidFill>
            </a:rPr>
            <a:t>MODE4</a:t>
          </a:r>
        </a:p>
      </xdr:txBody>
    </xdr:sp>
    <xdr:clientData/>
  </xdr:twoCellAnchor>
  <xdr:twoCellAnchor>
    <xdr:from>
      <xdr:col>3</xdr:col>
      <xdr:colOff>305009</xdr:colOff>
      <xdr:row>18</xdr:row>
      <xdr:rowOff>0</xdr:rowOff>
    </xdr:from>
    <xdr:to>
      <xdr:col>11</xdr:col>
      <xdr:colOff>0</xdr:colOff>
      <xdr:row>21</xdr:row>
      <xdr:rowOff>0</xdr:rowOff>
    </xdr:to>
    <xdr:cxnSp macro="">
      <xdr:nvCxnSpPr>
        <xdr:cNvPr id="242" name="直線コネクタ 241"/>
        <xdr:cNvCxnSpPr>
          <a:stCxn id="43" idx="2"/>
          <a:endCxn id="241" idx="0"/>
        </xdr:cNvCxnSpPr>
      </xdr:nvCxnSpPr>
      <xdr:spPr>
        <a:xfrm>
          <a:off x="1817966" y="2981739"/>
          <a:ext cx="4554121" cy="496957"/>
        </a:xfrm>
        <a:prstGeom prst="line">
          <a:avLst/>
        </a:prstGeom>
        <a:ln w="12700">
          <a:solidFill>
            <a:sysClr val="windowText" lastClr="000000"/>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607391</xdr:colOff>
      <xdr:row>26</xdr:row>
      <xdr:rowOff>0</xdr:rowOff>
    </xdr:from>
    <xdr:to>
      <xdr:col>12</xdr:col>
      <xdr:colOff>0</xdr:colOff>
      <xdr:row>28</xdr:row>
      <xdr:rowOff>159017</xdr:rowOff>
    </xdr:to>
    <xdr:sp macro="" textlink="">
      <xdr:nvSpPr>
        <xdr:cNvPr id="247" name="正方形/長方形 246"/>
        <xdr:cNvSpPr/>
      </xdr:nvSpPr>
      <xdr:spPr>
        <a:xfrm>
          <a:off x="5764695" y="4306957"/>
          <a:ext cx="1214783" cy="49032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ログイン</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作業者</a:t>
          </a:r>
          <a:r>
            <a:rPr kumimoji="1" lang="en-US" altLang="ja-JP" sz="1100">
              <a:solidFill>
                <a:sysClr val="windowText" lastClr="000000"/>
              </a:solidFill>
            </a:rPr>
            <a:t>QR)</a:t>
          </a:r>
          <a:endParaRPr kumimoji="1" lang="ja-JP" altLang="en-US" sz="1100">
            <a:solidFill>
              <a:sysClr val="windowText" lastClr="000000"/>
            </a:solidFill>
          </a:endParaRPr>
        </a:p>
      </xdr:txBody>
    </xdr:sp>
    <xdr:clientData/>
  </xdr:twoCellAnchor>
  <xdr:twoCellAnchor>
    <xdr:from>
      <xdr:col>10</xdr:col>
      <xdr:colOff>607390</xdr:colOff>
      <xdr:row>24</xdr:row>
      <xdr:rowOff>0</xdr:rowOff>
    </xdr:from>
    <xdr:to>
      <xdr:col>11</xdr:col>
      <xdr:colOff>0</xdr:colOff>
      <xdr:row>26</xdr:row>
      <xdr:rowOff>0</xdr:rowOff>
    </xdr:to>
    <xdr:cxnSp macro="">
      <xdr:nvCxnSpPr>
        <xdr:cNvPr id="248" name="直線コネクタ 247"/>
        <xdr:cNvCxnSpPr/>
      </xdr:nvCxnSpPr>
      <xdr:spPr>
        <a:xfrm>
          <a:off x="6372086" y="3975652"/>
          <a:ext cx="1" cy="331305"/>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31</xdr:row>
      <xdr:rowOff>0</xdr:rowOff>
    </xdr:from>
    <xdr:to>
      <xdr:col>12</xdr:col>
      <xdr:colOff>1</xdr:colOff>
      <xdr:row>33</xdr:row>
      <xdr:rowOff>159016</xdr:rowOff>
    </xdr:to>
    <xdr:sp macro="" textlink="">
      <xdr:nvSpPr>
        <xdr:cNvPr id="249" name="正方形/長方形 248"/>
        <xdr:cNvSpPr/>
      </xdr:nvSpPr>
      <xdr:spPr>
        <a:xfrm>
          <a:off x="5764696" y="5135217"/>
          <a:ext cx="1214783" cy="49032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投入毎</a:t>
          </a:r>
          <a:endParaRPr kumimoji="1" lang="en-US" altLang="ja-JP" sz="1100">
            <a:solidFill>
              <a:sysClr val="windowText" lastClr="000000"/>
            </a:solidFill>
          </a:endParaRPr>
        </a:p>
        <a:p>
          <a:pPr algn="ctr"/>
          <a:r>
            <a:rPr kumimoji="1" lang="en-US" altLang="ja-JP" sz="1100">
              <a:solidFill>
                <a:sysClr val="windowText" lastClr="000000"/>
              </a:solidFill>
            </a:rPr>
            <a:t>(</a:t>
          </a:r>
          <a:r>
            <a:rPr kumimoji="1" lang="ja-JP" altLang="en-US" sz="1100">
              <a:solidFill>
                <a:sysClr val="windowText" lastClr="000000"/>
              </a:solidFill>
            </a:rPr>
            <a:t>かんばん</a:t>
          </a:r>
          <a:r>
            <a:rPr kumimoji="1" lang="en-US" altLang="ja-JP" sz="1100">
              <a:solidFill>
                <a:sysClr val="windowText" lastClr="000000"/>
              </a:solidFill>
            </a:rPr>
            <a:t>)</a:t>
          </a:r>
        </a:p>
      </xdr:txBody>
    </xdr:sp>
    <xdr:clientData/>
  </xdr:twoCellAnchor>
  <xdr:twoCellAnchor>
    <xdr:from>
      <xdr:col>10</xdr:col>
      <xdr:colOff>607390</xdr:colOff>
      <xdr:row>28</xdr:row>
      <xdr:rowOff>159017</xdr:rowOff>
    </xdr:from>
    <xdr:to>
      <xdr:col>11</xdr:col>
      <xdr:colOff>0</xdr:colOff>
      <xdr:row>31</xdr:row>
      <xdr:rowOff>0</xdr:rowOff>
    </xdr:to>
    <xdr:cxnSp macro="">
      <xdr:nvCxnSpPr>
        <xdr:cNvPr id="250" name="直線コネクタ 249"/>
        <xdr:cNvCxnSpPr/>
      </xdr:nvCxnSpPr>
      <xdr:spPr>
        <a:xfrm flipH="1">
          <a:off x="6372086" y="4797278"/>
          <a:ext cx="1" cy="337939"/>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24217</xdr:colOff>
      <xdr:row>10</xdr:row>
      <xdr:rowOff>121478</xdr:rowOff>
    </xdr:from>
    <xdr:ext cx="467949" cy="275717"/>
    <xdr:sp macro="" textlink="">
      <xdr:nvSpPr>
        <xdr:cNvPr id="251" name="テキスト ボックス 250"/>
        <xdr:cNvSpPr txBox="1"/>
      </xdr:nvSpPr>
      <xdr:spPr>
        <a:xfrm>
          <a:off x="2751956" y="1778000"/>
          <a:ext cx="467949"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ysClr val="windowText" lastClr="000000"/>
              </a:solidFill>
              <a:effectLst>
                <a:glow rad="330200">
                  <a:schemeClr val="bg1"/>
                </a:glow>
              </a:effectLst>
            </a:rPr>
            <a:t>印刷</a:t>
          </a:r>
        </a:p>
      </xdr:txBody>
    </xdr:sp>
    <xdr:clientData/>
  </xdr:oneCellAnchor>
  <xdr:twoCellAnchor>
    <xdr:from>
      <xdr:col>7</xdr:col>
      <xdr:colOff>0</xdr:colOff>
      <xdr:row>6</xdr:row>
      <xdr:rowOff>0</xdr:rowOff>
    </xdr:from>
    <xdr:to>
      <xdr:col>9</xdr:col>
      <xdr:colOff>347870</xdr:colOff>
      <xdr:row>10</xdr:row>
      <xdr:rowOff>0</xdr:rowOff>
    </xdr:to>
    <xdr:sp macro="" textlink="">
      <xdr:nvSpPr>
        <xdr:cNvPr id="265" name="正方形/長方形 264"/>
        <xdr:cNvSpPr/>
      </xdr:nvSpPr>
      <xdr:spPr>
        <a:xfrm>
          <a:off x="3942522" y="993913"/>
          <a:ext cx="1562652" cy="662609"/>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r>
            <a:rPr kumimoji="1" lang="ja-JP" altLang="en-US" sz="1100">
              <a:solidFill>
                <a:sysClr val="windowText" lastClr="000000"/>
              </a:solidFill>
            </a:rPr>
            <a:t>日報集計など</a:t>
          </a:r>
          <a:endParaRPr kumimoji="1" lang="en-US" altLang="ja-JP" sz="1100">
            <a:solidFill>
              <a:sysClr val="windowText" lastClr="000000"/>
            </a:solidFill>
          </a:endParaRPr>
        </a:p>
      </xdr:txBody>
    </xdr:sp>
    <xdr:clientData/>
  </xdr:twoCellAnchor>
  <xdr:twoCellAnchor>
    <xdr:from>
      <xdr:col>6</xdr:col>
      <xdr:colOff>0</xdr:colOff>
      <xdr:row>8</xdr:row>
      <xdr:rowOff>1</xdr:rowOff>
    </xdr:from>
    <xdr:to>
      <xdr:col>7</xdr:col>
      <xdr:colOff>0</xdr:colOff>
      <xdr:row>8</xdr:row>
      <xdr:rowOff>1</xdr:rowOff>
    </xdr:to>
    <xdr:cxnSp macro="">
      <xdr:nvCxnSpPr>
        <xdr:cNvPr id="266" name="直線コネクタ 265"/>
        <xdr:cNvCxnSpPr>
          <a:stCxn id="39" idx="3"/>
          <a:endCxn id="265" idx="1"/>
        </xdr:cNvCxnSpPr>
      </xdr:nvCxnSpPr>
      <xdr:spPr>
        <a:xfrm>
          <a:off x="3335130" y="1325218"/>
          <a:ext cx="607392" cy="0"/>
        </a:xfrm>
        <a:prstGeom prst="line">
          <a:avLst/>
        </a:prstGeom>
        <a:ln w="12700">
          <a:solidFill>
            <a:sysClr val="windowText" lastClr="000000"/>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574261</xdr:colOff>
      <xdr:row>8</xdr:row>
      <xdr:rowOff>0</xdr:rowOff>
    </xdr:from>
    <xdr:ext cx="466794" cy="275717"/>
    <xdr:sp macro="" textlink="">
      <xdr:nvSpPr>
        <xdr:cNvPr id="2" name="テキスト ボックス 1"/>
        <xdr:cNvSpPr txBox="1"/>
      </xdr:nvSpPr>
      <xdr:spPr>
        <a:xfrm>
          <a:off x="695739" y="1275522"/>
          <a:ext cx="466794"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工務</a:t>
          </a:r>
        </a:p>
      </xdr:txBody>
    </xdr:sp>
    <xdr:clientData/>
  </xdr:oneCellAnchor>
  <xdr:oneCellAnchor>
    <xdr:from>
      <xdr:col>2</xdr:col>
      <xdr:colOff>149087</xdr:colOff>
      <xdr:row>10</xdr:row>
      <xdr:rowOff>88349</xdr:rowOff>
    </xdr:from>
    <xdr:ext cx="1020023" cy="275717"/>
    <xdr:sp macro="" textlink="">
      <xdr:nvSpPr>
        <xdr:cNvPr id="3" name="テキスト ボックス 2"/>
        <xdr:cNvSpPr txBox="1"/>
      </xdr:nvSpPr>
      <xdr:spPr>
        <a:xfrm>
          <a:off x="1921565" y="1717262"/>
          <a:ext cx="102002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かんばん印刷</a:t>
          </a:r>
        </a:p>
      </xdr:txBody>
    </xdr:sp>
    <xdr:clientData/>
  </xdr:oneCellAnchor>
  <xdr:oneCellAnchor>
    <xdr:from>
      <xdr:col>2</xdr:col>
      <xdr:colOff>236162</xdr:colOff>
      <xdr:row>16</xdr:row>
      <xdr:rowOff>126997</xdr:rowOff>
    </xdr:from>
    <xdr:ext cx="845873" cy="275717"/>
    <xdr:sp macro="" textlink="">
      <xdr:nvSpPr>
        <xdr:cNvPr id="4" name="テキスト ボックス 3"/>
        <xdr:cNvSpPr txBox="1"/>
      </xdr:nvSpPr>
      <xdr:spPr>
        <a:xfrm>
          <a:off x="2008640" y="2816084"/>
          <a:ext cx="84587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規格データ</a:t>
          </a:r>
        </a:p>
      </xdr:txBody>
    </xdr:sp>
    <xdr:clientData/>
  </xdr:oneCellAnchor>
  <xdr:twoCellAnchor>
    <xdr:from>
      <xdr:col>2</xdr:col>
      <xdr:colOff>1169110</xdr:colOff>
      <xdr:row>11</xdr:row>
      <xdr:rowOff>48408</xdr:rowOff>
    </xdr:from>
    <xdr:to>
      <xdr:col>4</xdr:col>
      <xdr:colOff>388314</xdr:colOff>
      <xdr:row>11</xdr:row>
      <xdr:rowOff>48408</xdr:rowOff>
    </xdr:to>
    <xdr:cxnSp macro="">
      <xdr:nvCxnSpPr>
        <xdr:cNvPr id="12" name="直線矢印コネクタ 11"/>
        <xdr:cNvCxnSpPr>
          <a:stCxn id="3" idx="3"/>
          <a:endCxn id="262" idx="1"/>
        </xdr:cNvCxnSpPr>
      </xdr:nvCxnSpPr>
      <xdr:spPr>
        <a:xfrm>
          <a:off x="2940760" y="2213758"/>
          <a:ext cx="1790954"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325989</xdr:colOff>
      <xdr:row>19</xdr:row>
      <xdr:rowOff>82825</xdr:rowOff>
    </xdr:from>
    <xdr:ext cx="862544" cy="275717"/>
    <xdr:sp macro="" textlink="">
      <xdr:nvSpPr>
        <xdr:cNvPr id="15" name="テキスト ボックス 14"/>
        <xdr:cNvSpPr txBox="1"/>
      </xdr:nvSpPr>
      <xdr:spPr>
        <a:xfrm>
          <a:off x="4671598" y="3301999"/>
          <a:ext cx="862544"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bg1"/>
              </a:solidFill>
            </a:rPr>
            <a:t>QR</a:t>
          </a:r>
          <a:r>
            <a:rPr kumimoji="1" lang="ja-JP" altLang="en-US" sz="1100">
              <a:solidFill>
                <a:schemeClr val="bg1"/>
              </a:solidFill>
            </a:rPr>
            <a:t>リーダー</a:t>
          </a:r>
        </a:p>
      </xdr:txBody>
    </xdr:sp>
    <xdr:clientData/>
  </xdr:oneCellAnchor>
  <xdr:oneCellAnchor>
    <xdr:from>
      <xdr:col>3</xdr:col>
      <xdr:colOff>226391</xdr:colOff>
      <xdr:row>16</xdr:row>
      <xdr:rowOff>126997</xdr:rowOff>
    </xdr:from>
    <xdr:ext cx="845873" cy="275717"/>
    <xdr:sp macro="" textlink="">
      <xdr:nvSpPr>
        <xdr:cNvPr id="20" name="テキスト ボックス 19"/>
        <xdr:cNvSpPr txBox="1"/>
      </xdr:nvSpPr>
      <xdr:spPr>
        <a:xfrm>
          <a:off x="3313043" y="2816084"/>
          <a:ext cx="84587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規格データ</a:t>
          </a:r>
        </a:p>
      </xdr:txBody>
    </xdr:sp>
    <xdr:clientData/>
  </xdr:oneCellAnchor>
  <xdr:twoCellAnchor>
    <xdr:from>
      <xdr:col>2</xdr:col>
      <xdr:colOff>1082035</xdr:colOff>
      <xdr:row>17</xdr:row>
      <xdr:rowOff>88160</xdr:rowOff>
    </xdr:from>
    <xdr:to>
      <xdr:col>3</xdr:col>
      <xdr:colOff>226391</xdr:colOff>
      <xdr:row>17</xdr:row>
      <xdr:rowOff>88160</xdr:rowOff>
    </xdr:to>
    <xdr:cxnSp macro="">
      <xdr:nvCxnSpPr>
        <xdr:cNvPr id="22" name="直線矢印コネクタ 21"/>
        <xdr:cNvCxnSpPr>
          <a:stCxn id="4" idx="3"/>
          <a:endCxn id="20" idx="1"/>
        </xdr:cNvCxnSpPr>
      </xdr:nvCxnSpPr>
      <xdr:spPr>
        <a:xfrm>
          <a:off x="2854513" y="2953943"/>
          <a:ext cx="458530" cy="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1072264</xdr:colOff>
      <xdr:row>17</xdr:row>
      <xdr:rowOff>88160</xdr:rowOff>
    </xdr:from>
    <xdr:to>
      <xdr:col>4</xdr:col>
      <xdr:colOff>193261</xdr:colOff>
      <xdr:row>25</xdr:row>
      <xdr:rowOff>93684</xdr:rowOff>
    </xdr:to>
    <xdr:cxnSp macro="">
      <xdr:nvCxnSpPr>
        <xdr:cNvPr id="31" name="カギ線コネクタ 30"/>
        <xdr:cNvCxnSpPr>
          <a:stCxn id="20" idx="3"/>
          <a:endCxn id="100" idx="1"/>
        </xdr:cNvCxnSpPr>
      </xdr:nvCxnSpPr>
      <xdr:spPr>
        <a:xfrm>
          <a:off x="4158916" y="2953943"/>
          <a:ext cx="379954" cy="1419089"/>
        </a:xfrm>
        <a:prstGeom prst="bentConnector3">
          <a:avLst>
            <a:gd name="adj1" fmla="val 65986"/>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334325</xdr:colOff>
      <xdr:row>22</xdr:row>
      <xdr:rowOff>49695</xdr:rowOff>
    </xdr:from>
    <xdr:ext cx="845873" cy="275717"/>
    <xdr:sp macro="" textlink="">
      <xdr:nvSpPr>
        <xdr:cNvPr id="35" name="テキスト ボックス 34"/>
        <xdr:cNvSpPr txBox="1"/>
      </xdr:nvSpPr>
      <xdr:spPr>
        <a:xfrm>
          <a:off x="4679934" y="3798956"/>
          <a:ext cx="84587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データ読込</a:t>
          </a:r>
        </a:p>
      </xdr:txBody>
    </xdr:sp>
    <xdr:clientData/>
  </xdr:oneCellAnchor>
  <xdr:twoCellAnchor>
    <xdr:from>
      <xdr:col>4</xdr:col>
      <xdr:colOff>757261</xdr:colOff>
      <xdr:row>21</xdr:row>
      <xdr:rowOff>5151</xdr:rowOff>
    </xdr:from>
    <xdr:to>
      <xdr:col>4</xdr:col>
      <xdr:colOff>757262</xdr:colOff>
      <xdr:row>22</xdr:row>
      <xdr:rowOff>49695</xdr:rowOff>
    </xdr:to>
    <xdr:cxnSp macro="">
      <xdr:nvCxnSpPr>
        <xdr:cNvPr id="38" name="直線矢印コネクタ 37"/>
        <xdr:cNvCxnSpPr>
          <a:stCxn id="15" idx="2"/>
          <a:endCxn id="35" idx="0"/>
        </xdr:cNvCxnSpPr>
      </xdr:nvCxnSpPr>
      <xdr:spPr>
        <a:xfrm>
          <a:off x="5102870" y="3577716"/>
          <a:ext cx="1" cy="22124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1041055</xdr:colOff>
      <xdr:row>8</xdr:row>
      <xdr:rowOff>137859</xdr:rowOff>
    </xdr:from>
    <xdr:to>
      <xdr:col>2</xdr:col>
      <xdr:colOff>236162</xdr:colOff>
      <xdr:row>17</xdr:row>
      <xdr:rowOff>88160</xdr:rowOff>
    </xdr:to>
    <xdr:cxnSp macro="">
      <xdr:nvCxnSpPr>
        <xdr:cNvPr id="42" name="カギ線コネクタ 41"/>
        <xdr:cNvCxnSpPr>
          <a:stCxn id="2" idx="3"/>
          <a:endCxn id="4" idx="1"/>
        </xdr:cNvCxnSpPr>
      </xdr:nvCxnSpPr>
      <xdr:spPr>
        <a:xfrm>
          <a:off x="1162533" y="1413381"/>
          <a:ext cx="846107" cy="1540562"/>
        </a:xfrm>
        <a:prstGeom prst="bentConnector3">
          <a:avLst>
            <a:gd name="adj1" fmla="val 50000"/>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382800</xdr:colOff>
      <xdr:row>29</xdr:row>
      <xdr:rowOff>149089</xdr:rowOff>
    </xdr:from>
    <xdr:ext cx="748923" cy="275717"/>
    <xdr:sp macro="" textlink="">
      <xdr:nvSpPr>
        <xdr:cNvPr id="67" name="テキスト ボックス 66"/>
        <xdr:cNvSpPr txBox="1"/>
      </xdr:nvSpPr>
      <xdr:spPr>
        <a:xfrm>
          <a:off x="4728409" y="5135219"/>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作業開始</a:t>
          </a:r>
        </a:p>
      </xdr:txBody>
    </xdr:sp>
    <xdr:clientData/>
  </xdr:oneCellAnchor>
  <xdr:oneCellAnchor>
    <xdr:from>
      <xdr:col>4</xdr:col>
      <xdr:colOff>385557</xdr:colOff>
      <xdr:row>35</xdr:row>
      <xdr:rowOff>13804</xdr:rowOff>
    </xdr:from>
    <xdr:ext cx="748923" cy="275717"/>
    <xdr:sp macro="" textlink="">
      <xdr:nvSpPr>
        <xdr:cNvPr id="68" name="テキスト ボックス 67"/>
        <xdr:cNvSpPr txBox="1"/>
      </xdr:nvSpPr>
      <xdr:spPr>
        <a:xfrm>
          <a:off x="4731166" y="6060108"/>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作業完了</a:t>
          </a:r>
        </a:p>
      </xdr:txBody>
    </xdr:sp>
    <xdr:clientData/>
  </xdr:oneCellAnchor>
  <xdr:twoCellAnchor>
    <xdr:from>
      <xdr:col>4</xdr:col>
      <xdr:colOff>757262</xdr:colOff>
      <xdr:row>28</xdr:row>
      <xdr:rowOff>143194</xdr:rowOff>
    </xdr:from>
    <xdr:to>
      <xdr:col>4</xdr:col>
      <xdr:colOff>760019</xdr:colOff>
      <xdr:row>29</xdr:row>
      <xdr:rowOff>149089</xdr:rowOff>
    </xdr:to>
    <xdr:cxnSp macro="">
      <xdr:nvCxnSpPr>
        <xdr:cNvPr id="72" name="直線矢印コネクタ 71"/>
        <xdr:cNvCxnSpPr>
          <a:stCxn id="109" idx="2"/>
          <a:endCxn id="67" idx="0"/>
        </xdr:cNvCxnSpPr>
      </xdr:nvCxnSpPr>
      <xdr:spPr>
        <a:xfrm flipH="1">
          <a:off x="5102871" y="4952629"/>
          <a:ext cx="2757" cy="18259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760019</xdr:colOff>
      <xdr:row>34</xdr:row>
      <xdr:rowOff>19509</xdr:rowOff>
    </xdr:from>
    <xdr:to>
      <xdr:col>4</xdr:col>
      <xdr:colOff>760019</xdr:colOff>
      <xdr:row>35</xdr:row>
      <xdr:rowOff>13804</xdr:rowOff>
    </xdr:to>
    <xdr:cxnSp macro="">
      <xdr:nvCxnSpPr>
        <xdr:cNvPr id="75" name="直線矢印コネクタ 74"/>
        <xdr:cNvCxnSpPr>
          <a:stCxn id="119" idx="2"/>
          <a:endCxn id="68" idx="0"/>
        </xdr:cNvCxnSpPr>
      </xdr:nvCxnSpPr>
      <xdr:spPr>
        <a:xfrm>
          <a:off x="5105628" y="5889118"/>
          <a:ext cx="0" cy="17099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1041055</xdr:colOff>
      <xdr:row>8</xdr:row>
      <xdr:rowOff>137859</xdr:rowOff>
    </xdr:from>
    <xdr:to>
      <xdr:col>2</xdr:col>
      <xdr:colOff>284637</xdr:colOff>
      <xdr:row>8</xdr:row>
      <xdr:rowOff>137859</xdr:rowOff>
    </xdr:to>
    <xdr:cxnSp macro="">
      <xdr:nvCxnSpPr>
        <xdr:cNvPr id="82" name="直線矢印コネクタ 81"/>
        <xdr:cNvCxnSpPr>
          <a:stCxn id="2" idx="3"/>
          <a:endCxn id="247" idx="1"/>
        </xdr:cNvCxnSpPr>
      </xdr:nvCxnSpPr>
      <xdr:spPr>
        <a:xfrm>
          <a:off x="1162533" y="1413381"/>
          <a:ext cx="894582"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541131</xdr:colOff>
      <xdr:row>0</xdr:row>
      <xdr:rowOff>170991</xdr:rowOff>
    </xdr:from>
    <xdr:to>
      <xdr:col>5</xdr:col>
      <xdr:colOff>1247914</xdr:colOff>
      <xdr:row>0</xdr:row>
      <xdr:rowOff>170991</xdr:rowOff>
    </xdr:to>
    <xdr:cxnSp macro="">
      <xdr:nvCxnSpPr>
        <xdr:cNvPr id="86" name="直線矢印コネクタ 85"/>
        <xdr:cNvCxnSpPr/>
      </xdr:nvCxnSpPr>
      <xdr:spPr>
        <a:xfrm>
          <a:off x="6316870" y="170991"/>
          <a:ext cx="706783" cy="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541131</xdr:colOff>
      <xdr:row>1</xdr:row>
      <xdr:rowOff>198599</xdr:rowOff>
    </xdr:from>
    <xdr:to>
      <xdr:col>5</xdr:col>
      <xdr:colOff>1247914</xdr:colOff>
      <xdr:row>1</xdr:row>
      <xdr:rowOff>198599</xdr:rowOff>
    </xdr:to>
    <xdr:cxnSp macro="">
      <xdr:nvCxnSpPr>
        <xdr:cNvPr id="91" name="直線矢印コネクタ 90"/>
        <xdr:cNvCxnSpPr/>
      </xdr:nvCxnSpPr>
      <xdr:spPr>
        <a:xfrm>
          <a:off x="6316870" y="375295"/>
          <a:ext cx="706783" cy="0"/>
        </a:xfrm>
        <a:prstGeom prst="straightConnector1">
          <a:avLst/>
        </a:prstGeom>
        <a:ln w="12700">
          <a:solidFill>
            <a:sysClr val="windowText" lastClr="000000"/>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1424794</xdr:colOff>
      <xdr:row>0</xdr:row>
      <xdr:rowOff>77305</xdr:rowOff>
    </xdr:from>
    <xdr:ext cx="563744" cy="183384"/>
    <xdr:sp macro="" textlink="">
      <xdr:nvSpPr>
        <xdr:cNvPr id="94" name="テキスト ボックス 93"/>
        <xdr:cNvSpPr txBox="1"/>
      </xdr:nvSpPr>
      <xdr:spPr>
        <a:xfrm>
          <a:off x="5770403" y="77305"/>
          <a:ext cx="56374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tIns="0" bIns="0" rtlCol="0" anchor="t">
          <a:spAutoFit/>
        </a:bodyPr>
        <a:lstStyle/>
        <a:p>
          <a:r>
            <a:rPr kumimoji="1" lang="ja-JP" altLang="en-US" sz="1100"/>
            <a:t>データ</a:t>
          </a:r>
        </a:p>
      </xdr:txBody>
    </xdr:sp>
    <xdr:clientData/>
  </xdr:oneCellAnchor>
  <xdr:oneCellAnchor>
    <xdr:from>
      <xdr:col>5</xdr:col>
      <xdr:colOff>88533</xdr:colOff>
      <xdr:row>1</xdr:row>
      <xdr:rowOff>93870</xdr:rowOff>
    </xdr:from>
    <xdr:ext cx="466794" cy="183384"/>
    <xdr:sp macro="" textlink="">
      <xdr:nvSpPr>
        <xdr:cNvPr id="95" name="テキスト ボックス 94"/>
        <xdr:cNvSpPr txBox="1"/>
      </xdr:nvSpPr>
      <xdr:spPr>
        <a:xfrm>
          <a:off x="5864272" y="270566"/>
          <a:ext cx="46679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tIns="0" bIns="0" rtlCol="0" anchor="t">
          <a:spAutoFit/>
        </a:bodyPr>
        <a:lstStyle/>
        <a:p>
          <a:r>
            <a:rPr kumimoji="1" lang="ja-JP" altLang="en-US" sz="1100"/>
            <a:t>実体</a:t>
          </a:r>
        </a:p>
      </xdr:txBody>
    </xdr:sp>
    <xdr:clientData/>
  </xdr:oneCellAnchor>
  <xdr:oneCellAnchor>
    <xdr:from>
      <xdr:col>4</xdr:col>
      <xdr:colOff>193261</xdr:colOff>
      <xdr:row>24</xdr:row>
      <xdr:rowOff>132521</xdr:rowOff>
    </xdr:from>
    <xdr:ext cx="1128001" cy="275717"/>
    <xdr:sp macro="" textlink="">
      <xdr:nvSpPr>
        <xdr:cNvPr id="100" name="テキスト ボックス 99"/>
        <xdr:cNvSpPr txBox="1"/>
      </xdr:nvSpPr>
      <xdr:spPr>
        <a:xfrm>
          <a:off x="4538870" y="4235173"/>
          <a:ext cx="1128001"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規格データ読込</a:t>
          </a:r>
        </a:p>
      </xdr:txBody>
    </xdr:sp>
    <xdr:clientData/>
  </xdr:oneCellAnchor>
  <xdr:twoCellAnchor>
    <xdr:from>
      <xdr:col>4</xdr:col>
      <xdr:colOff>757262</xdr:colOff>
      <xdr:row>23</xdr:row>
      <xdr:rowOff>148716</xdr:rowOff>
    </xdr:from>
    <xdr:to>
      <xdr:col>4</xdr:col>
      <xdr:colOff>757262</xdr:colOff>
      <xdr:row>24</xdr:row>
      <xdr:rowOff>132521</xdr:rowOff>
    </xdr:to>
    <xdr:cxnSp macro="">
      <xdr:nvCxnSpPr>
        <xdr:cNvPr id="104" name="直線矢印コネクタ 103"/>
        <xdr:cNvCxnSpPr>
          <a:stCxn id="35" idx="2"/>
          <a:endCxn id="100" idx="0"/>
        </xdr:cNvCxnSpPr>
      </xdr:nvCxnSpPr>
      <xdr:spPr>
        <a:xfrm>
          <a:off x="5102871" y="4074673"/>
          <a:ext cx="0" cy="16050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193261</xdr:colOff>
      <xdr:row>27</xdr:row>
      <xdr:rowOff>44173</xdr:rowOff>
    </xdr:from>
    <xdr:ext cx="1133515" cy="275717"/>
    <xdr:sp macro="" textlink="">
      <xdr:nvSpPr>
        <xdr:cNvPr id="109" name="テキスト ボックス 108"/>
        <xdr:cNvSpPr txBox="1"/>
      </xdr:nvSpPr>
      <xdr:spPr>
        <a:xfrm>
          <a:off x="4538870" y="4676912"/>
          <a:ext cx="1133515"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ダイヤル値読込</a:t>
          </a:r>
        </a:p>
      </xdr:txBody>
    </xdr:sp>
    <xdr:clientData/>
  </xdr:oneCellAnchor>
  <xdr:twoCellAnchor>
    <xdr:from>
      <xdr:col>4</xdr:col>
      <xdr:colOff>757262</xdr:colOff>
      <xdr:row>26</xdr:row>
      <xdr:rowOff>54847</xdr:rowOff>
    </xdr:from>
    <xdr:to>
      <xdr:col>4</xdr:col>
      <xdr:colOff>760019</xdr:colOff>
      <xdr:row>27</xdr:row>
      <xdr:rowOff>44173</xdr:rowOff>
    </xdr:to>
    <xdr:cxnSp macro="">
      <xdr:nvCxnSpPr>
        <xdr:cNvPr id="111" name="直線矢印コネクタ 110"/>
        <xdr:cNvCxnSpPr>
          <a:stCxn id="100" idx="2"/>
          <a:endCxn id="109" idx="0"/>
        </xdr:cNvCxnSpPr>
      </xdr:nvCxnSpPr>
      <xdr:spPr>
        <a:xfrm>
          <a:off x="5102871" y="4510890"/>
          <a:ext cx="2757" cy="166022"/>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385557</xdr:colOff>
      <xdr:row>32</xdr:row>
      <xdr:rowOff>97184</xdr:rowOff>
    </xdr:from>
    <xdr:ext cx="748923" cy="275717"/>
    <xdr:sp macro="" textlink="">
      <xdr:nvSpPr>
        <xdr:cNvPr id="119" name="テキスト ボックス 118"/>
        <xdr:cNvSpPr txBox="1"/>
      </xdr:nvSpPr>
      <xdr:spPr>
        <a:xfrm>
          <a:off x="4731166" y="5613401"/>
          <a:ext cx="74892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実績登録</a:t>
          </a:r>
        </a:p>
      </xdr:txBody>
    </xdr:sp>
    <xdr:clientData/>
  </xdr:oneCellAnchor>
  <xdr:twoCellAnchor>
    <xdr:from>
      <xdr:col>4</xdr:col>
      <xdr:colOff>757262</xdr:colOff>
      <xdr:row>31</xdr:row>
      <xdr:rowOff>71414</xdr:rowOff>
    </xdr:from>
    <xdr:to>
      <xdr:col>4</xdr:col>
      <xdr:colOff>760019</xdr:colOff>
      <xdr:row>32</xdr:row>
      <xdr:rowOff>97184</xdr:rowOff>
    </xdr:to>
    <xdr:cxnSp macro="">
      <xdr:nvCxnSpPr>
        <xdr:cNvPr id="122" name="直線矢印コネクタ 121"/>
        <xdr:cNvCxnSpPr>
          <a:stCxn id="67" idx="2"/>
          <a:endCxn id="119" idx="0"/>
        </xdr:cNvCxnSpPr>
      </xdr:nvCxnSpPr>
      <xdr:spPr>
        <a:xfrm>
          <a:off x="5102871" y="5410936"/>
          <a:ext cx="2757" cy="202465"/>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223748</xdr:colOff>
      <xdr:row>32</xdr:row>
      <xdr:rowOff>97184</xdr:rowOff>
    </xdr:from>
    <xdr:ext cx="859659" cy="275717"/>
    <xdr:sp macro="" textlink="">
      <xdr:nvSpPr>
        <xdr:cNvPr id="131" name="テキスト ボックス 130"/>
        <xdr:cNvSpPr txBox="1"/>
      </xdr:nvSpPr>
      <xdr:spPr>
        <a:xfrm>
          <a:off x="3310400" y="5613401"/>
          <a:ext cx="859659"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spAutoFit/>
        </a:bodyPr>
        <a:lstStyle/>
        <a:p>
          <a:r>
            <a:rPr kumimoji="1" lang="ja-JP" altLang="en-US" sz="1100">
              <a:solidFill>
                <a:schemeClr val="bg1"/>
              </a:solidFill>
            </a:rPr>
            <a:t>実績データ</a:t>
          </a:r>
        </a:p>
      </xdr:txBody>
    </xdr:sp>
    <xdr:clientData/>
  </xdr:oneCellAnchor>
  <xdr:twoCellAnchor>
    <xdr:from>
      <xdr:col>3</xdr:col>
      <xdr:colOff>1083407</xdr:colOff>
      <xdr:row>33</xdr:row>
      <xdr:rowOff>58347</xdr:rowOff>
    </xdr:from>
    <xdr:to>
      <xdr:col>4</xdr:col>
      <xdr:colOff>385557</xdr:colOff>
      <xdr:row>33</xdr:row>
      <xdr:rowOff>58347</xdr:rowOff>
    </xdr:to>
    <xdr:cxnSp macro="">
      <xdr:nvCxnSpPr>
        <xdr:cNvPr id="132" name="直線矢印コネクタ 131"/>
        <xdr:cNvCxnSpPr>
          <a:stCxn id="119" idx="1"/>
          <a:endCxn id="131" idx="3"/>
        </xdr:cNvCxnSpPr>
      </xdr:nvCxnSpPr>
      <xdr:spPr>
        <a:xfrm flipH="1">
          <a:off x="4170059" y="5751260"/>
          <a:ext cx="561107" cy="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346642</xdr:colOff>
      <xdr:row>13</xdr:row>
      <xdr:rowOff>74543</xdr:rowOff>
    </xdr:from>
    <xdr:ext cx="748923" cy="275717"/>
    <xdr:sp macro="" textlink="">
      <xdr:nvSpPr>
        <xdr:cNvPr id="141" name="テキスト ボックス 140"/>
        <xdr:cNvSpPr txBox="1"/>
      </xdr:nvSpPr>
      <xdr:spPr>
        <a:xfrm>
          <a:off x="6122381" y="2233543"/>
          <a:ext cx="74892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品番照合</a:t>
          </a:r>
        </a:p>
      </xdr:txBody>
    </xdr:sp>
    <xdr:clientData/>
  </xdr:oneCellAnchor>
  <xdr:twoCellAnchor>
    <xdr:from>
      <xdr:col>5</xdr:col>
      <xdr:colOff>721104</xdr:colOff>
      <xdr:row>12</xdr:row>
      <xdr:rowOff>10675</xdr:rowOff>
    </xdr:from>
    <xdr:to>
      <xdr:col>5</xdr:col>
      <xdr:colOff>721104</xdr:colOff>
      <xdr:row>13</xdr:row>
      <xdr:rowOff>74543</xdr:rowOff>
    </xdr:to>
    <xdr:cxnSp macro="">
      <xdr:nvCxnSpPr>
        <xdr:cNvPr id="144" name="直線矢印コネクタ 143"/>
        <xdr:cNvCxnSpPr>
          <a:stCxn id="273" idx="2"/>
          <a:endCxn id="141" idx="0"/>
        </xdr:cNvCxnSpPr>
      </xdr:nvCxnSpPr>
      <xdr:spPr>
        <a:xfrm>
          <a:off x="6496843" y="1992979"/>
          <a:ext cx="0" cy="240564"/>
        </a:xfrm>
        <a:prstGeom prst="straightConnector1">
          <a:avLst/>
        </a:prstGeom>
        <a:ln w="12700">
          <a:solidFill>
            <a:sysClr val="windowText" lastClr="000000"/>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348020</xdr:colOff>
      <xdr:row>37</xdr:row>
      <xdr:rowOff>96628</xdr:rowOff>
    </xdr:from>
    <xdr:ext cx="748923" cy="275717"/>
    <xdr:sp macro="" textlink="">
      <xdr:nvSpPr>
        <xdr:cNvPr id="154" name="テキスト ボックス 153"/>
        <xdr:cNvSpPr txBox="1"/>
      </xdr:nvSpPr>
      <xdr:spPr>
        <a:xfrm>
          <a:off x="6123759" y="6496324"/>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梱包完了</a:t>
          </a:r>
        </a:p>
      </xdr:txBody>
    </xdr:sp>
    <xdr:clientData/>
  </xdr:oneCellAnchor>
  <xdr:oneCellAnchor>
    <xdr:from>
      <xdr:col>3</xdr:col>
      <xdr:colOff>279116</xdr:colOff>
      <xdr:row>37</xdr:row>
      <xdr:rowOff>96906</xdr:rowOff>
    </xdr:from>
    <xdr:ext cx="748923" cy="275717"/>
    <xdr:sp macro="" textlink="">
      <xdr:nvSpPr>
        <xdr:cNvPr id="157" name="テキスト ボックス 156"/>
        <xdr:cNvSpPr txBox="1"/>
      </xdr:nvSpPr>
      <xdr:spPr>
        <a:xfrm>
          <a:off x="3365768" y="6496602"/>
          <a:ext cx="748923"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出荷実績</a:t>
          </a:r>
        </a:p>
      </xdr:txBody>
    </xdr:sp>
    <xdr:clientData/>
  </xdr:oneCellAnchor>
  <xdr:twoCellAnchor>
    <xdr:from>
      <xdr:col>5</xdr:col>
      <xdr:colOff>721104</xdr:colOff>
      <xdr:row>14</xdr:row>
      <xdr:rowOff>173564</xdr:rowOff>
    </xdr:from>
    <xdr:to>
      <xdr:col>5</xdr:col>
      <xdr:colOff>722482</xdr:colOff>
      <xdr:row>37</xdr:row>
      <xdr:rowOff>96628</xdr:rowOff>
    </xdr:to>
    <xdr:cxnSp macro="">
      <xdr:nvCxnSpPr>
        <xdr:cNvPr id="158" name="直線矢印コネクタ 157"/>
        <xdr:cNvCxnSpPr>
          <a:stCxn id="141" idx="2"/>
          <a:endCxn id="154" idx="0"/>
        </xdr:cNvCxnSpPr>
      </xdr:nvCxnSpPr>
      <xdr:spPr>
        <a:xfrm>
          <a:off x="6496843" y="2509260"/>
          <a:ext cx="1378" cy="3987064"/>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1028039</xdr:colOff>
      <xdr:row>38</xdr:row>
      <xdr:rowOff>57792</xdr:rowOff>
    </xdr:from>
    <xdr:to>
      <xdr:col>5</xdr:col>
      <xdr:colOff>348020</xdr:colOff>
      <xdr:row>38</xdr:row>
      <xdr:rowOff>58070</xdr:rowOff>
    </xdr:to>
    <xdr:cxnSp macro="">
      <xdr:nvCxnSpPr>
        <xdr:cNvPr id="162" name="直線矢印コネクタ 161"/>
        <xdr:cNvCxnSpPr>
          <a:stCxn id="154" idx="1"/>
          <a:endCxn id="157" idx="3"/>
        </xdr:cNvCxnSpPr>
      </xdr:nvCxnSpPr>
      <xdr:spPr>
        <a:xfrm flipH="1">
          <a:off x="4114691" y="6634183"/>
          <a:ext cx="2009068" cy="278"/>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489084</xdr:colOff>
      <xdr:row>45</xdr:row>
      <xdr:rowOff>69020</xdr:rowOff>
    </xdr:from>
    <xdr:ext cx="466794" cy="275717"/>
    <xdr:sp macro="" textlink="">
      <xdr:nvSpPr>
        <xdr:cNvPr id="168" name="テキスト ボックス 167"/>
        <xdr:cNvSpPr txBox="1"/>
      </xdr:nvSpPr>
      <xdr:spPr>
        <a:xfrm>
          <a:off x="6264823" y="8235672"/>
          <a:ext cx="466794"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出荷</a:t>
          </a:r>
        </a:p>
      </xdr:txBody>
    </xdr:sp>
    <xdr:clientData/>
  </xdr:oneCellAnchor>
  <xdr:twoCellAnchor>
    <xdr:from>
      <xdr:col>5</xdr:col>
      <xdr:colOff>722481</xdr:colOff>
      <xdr:row>39</xdr:row>
      <xdr:rowOff>18954</xdr:rowOff>
    </xdr:from>
    <xdr:to>
      <xdr:col>5</xdr:col>
      <xdr:colOff>722482</xdr:colOff>
      <xdr:row>45</xdr:row>
      <xdr:rowOff>69020</xdr:rowOff>
    </xdr:to>
    <xdr:cxnSp macro="">
      <xdr:nvCxnSpPr>
        <xdr:cNvPr id="169" name="直線矢印コネクタ 168"/>
        <xdr:cNvCxnSpPr>
          <a:stCxn id="154" idx="2"/>
          <a:endCxn id="168" idx="0"/>
        </xdr:cNvCxnSpPr>
      </xdr:nvCxnSpPr>
      <xdr:spPr>
        <a:xfrm flipH="1">
          <a:off x="6498220" y="7125432"/>
          <a:ext cx="1" cy="111024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731069</xdr:colOff>
      <xdr:row>12</xdr:row>
      <xdr:rowOff>8466</xdr:rowOff>
    </xdr:from>
    <xdr:to>
      <xdr:col>4</xdr:col>
      <xdr:colOff>757261</xdr:colOff>
      <xdr:row>19</xdr:row>
      <xdr:rowOff>82825</xdr:rowOff>
    </xdr:to>
    <xdr:cxnSp macro="">
      <xdr:nvCxnSpPr>
        <xdr:cNvPr id="191" name="直線矢印コネクタ 190"/>
        <xdr:cNvCxnSpPr>
          <a:stCxn id="262" idx="2"/>
          <a:endCxn id="15" idx="0"/>
        </xdr:cNvCxnSpPr>
      </xdr:nvCxnSpPr>
      <xdr:spPr>
        <a:xfrm>
          <a:off x="5074469" y="2351616"/>
          <a:ext cx="26192" cy="131895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284637</xdr:colOff>
      <xdr:row>43</xdr:row>
      <xdr:rowOff>52455</xdr:rowOff>
    </xdr:from>
    <xdr:ext cx="748923" cy="275717"/>
    <xdr:sp macro="" textlink="">
      <xdr:nvSpPr>
        <xdr:cNvPr id="198" name="テキスト ボックス 197"/>
        <xdr:cNvSpPr txBox="1"/>
      </xdr:nvSpPr>
      <xdr:spPr>
        <a:xfrm>
          <a:off x="2057115" y="7512325"/>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t>生産実績</a:t>
          </a:r>
        </a:p>
      </xdr:txBody>
    </xdr:sp>
    <xdr:clientData/>
  </xdr:oneCellAnchor>
  <xdr:twoCellAnchor>
    <xdr:from>
      <xdr:col>2</xdr:col>
      <xdr:colOff>645601</xdr:colOff>
      <xdr:row>39</xdr:row>
      <xdr:rowOff>19232</xdr:rowOff>
    </xdr:from>
    <xdr:to>
      <xdr:col>2</xdr:col>
      <xdr:colOff>659099</xdr:colOff>
      <xdr:row>43</xdr:row>
      <xdr:rowOff>52455</xdr:rowOff>
    </xdr:to>
    <xdr:cxnSp macro="">
      <xdr:nvCxnSpPr>
        <xdr:cNvPr id="201" name="直線矢印コネクタ 200"/>
        <xdr:cNvCxnSpPr>
          <a:stCxn id="207" idx="2"/>
          <a:endCxn id="198" idx="0"/>
        </xdr:cNvCxnSpPr>
      </xdr:nvCxnSpPr>
      <xdr:spPr>
        <a:xfrm>
          <a:off x="2418079" y="6772319"/>
          <a:ext cx="13498" cy="740006"/>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229269</xdr:colOff>
      <xdr:row>37</xdr:row>
      <xdr:rowOff>96906</xdr:rowOff>
    </xdr:from>
    <xdr:ext cx="832664" cy="275717"/>
    <xdr:sp macro="" textlink="">
      <xdr:nvSpPr>
        <xdr:cNvPr id="207" name="テキスト ボックス 206"/>
        <xdr:cNvSpPr txBox="1"/>
      </xdr:nvSpPr>
      <xdr:spPr>
        <a:xfrm>
          <a:off x="2001747" y="6496602"/>
          <a:ext cx="832664"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spAutoFit/>
        </a:bodyPr>
        <a:lstStyle/>
        <a:p>
          <a:r>
            <a:rPr kumimoji="1" lang="ja-JP" altLang="en-US" sz="1100">
              <a:solidFill>
                <a:schemeClr val="bg1"/>
              </a:solidFill>
            </a:rPr>
            <a:t>実績まとめ</a:t>
          </a:r>
        </a:p>
      </xdr:txBody>
    </xdr:sp>
    <xdr:clientData/>
  </xdr:oneCellAnchor>
  <xdr:twoCellAnchor>
    <xdr:from>
      <xdr:col>2</xdr:col>
      <xdr:colOff>1061934</xdr:colOff>
      <xdr:row>33</xdr:row>
      <xdr:rowOff>58346</xdr:rowOff>
    </xdr:from>
    <xdr:to>
      <xdr:col>3</xdr:col>
      <xdr:colOff>223749</xdr:colOff>
      <xdr:row>38</xdr:row>
      <xdr:rowOff>58069</xdr:rowOff>
    </xdr:to>
    <xdr:cxnSp macro="">
      <xdr:nvCxnSpPr>
        <xdr:cNvPr id="215" name="カギ線コネクタ 214"/>
        <xdr:cNvCxnSpPr>
          <a:stCxn id="131" idx="1"/>
          <a:endCxn id="207" idx="3"/>
        </xdr:cNvCxnSpPr>
      </xdr:nvCxnSpPr>
      <xdr:spPr>
        <a:xfrm rot="10800000" flipV="1">
          <a:off x="2834412" y="5751259"/>
          <a:ext cx="475989" cy="883201"/>
        </a:xfrm>
        <a:prstGeom prst="bentConnector3">
          <a:avLst>
            <a:gd name="adj1" fmla="val 6276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1061933</xdr:colOff>
      <xdr:row>38</xdr:row>
      <xdr:rowOff>58070</xdr:rowOff>
    </xdr:from>
    <xdr:to>
      <xdr:col>3</xdr:col>
      <xdr:colOff>279116</xdr:colOff>
      <xdr:row>38</xdr:row>
      <xdr:rowOff>58070</xdr:rowOff>
    </xdr:to>
    <xdr:cxnSp macro="">
      <xdr:nvCxnSpPr>
        <xdr:cNvPr id="219" name="直線矢印コネクタ 218"/>
        <xdr:cNvCxnSpPr>
          <a:stCxn id="157" idx="1"/>
          <a:endCxn id="207" idx="3"/>
        </xdr:cNvCxnSpPr>
      </xdr:nvCxnSpPr>
      <xdr:spPr>
        <a:xfrm flipH="1">
          <a:off x="2834411" y="6634461"/>
          <a:ext cx="531357" cy="0"/>
        </a:xfrm>
        <a:prstGeom prst="straightConnector1">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284637</xdr:colOff>
      <xdr:row>8</xdr:row>
      <xdr:rowOff>0</xdr:rowOff>
    </xdr:from>
    <xdr:ext cx="748923" cy="275717"/>
    <xdr:sp macro="" textlink="">
      <xdr:nvSpPr>
        <xdr:cNvPr id="247" name="テキスト ボックス 246"/>
        <xdr:cNvSpPr txBox="1"/>
      </xdr:nvSpPr>
      <xdr:spPr>
        <a:xfrm>
          <a:off x="2057115" y="1275522"/>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納品指示</a:t>
          </a:r>
        </a:p>
      </xdr:txBody>
    </xdr:sp>
    <xdr:clientData/>
  </xdr:oneCellAnchor>
  <xdr:oneCellAnchor>
    <xdr:from>
      <xdr:col>5</xdr:col>
      <xdr:colOff>299545</xdr:colOff>
      <xdr:row>8</xdr:row>
      <xdr:rowOff>0</xdr:rowOff>
    </xdr:from>
    <xdr:ext cx="843116" cy="275717"/>
    <xdr:sp macro="" textlink="">
      <xdr:nvSpPr>
        <xdr:cNvPr id="254" name="テキスト ボックス 253"/>
        <xdr:cNvSpPr txBox="1"/>
      </xdr:nvSpPr>
      <xdr:spPr>
        <a:xfrm>
          <a:off x="6075284" y="1275522"/>
          <a:ext cx="843116"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出荷ストア</a:t>
          </a:r>
        </a:p>
      </xdr:txBody>
    </xdr:sp>
    <xdr:clientData/>
  </xdr:oneCellAnchor>
  <xdr:twoCellAnchor>
    <xdr:from>
      <xdr:col>2</xdr:col>
      <xdr:colOff>1033560</xdr:colOff>
      <xdr:row>8</xdr:row>
      <xdr:rowOff>137859</xdr:rowOff>
    </xdr:from>
    <xdr:to>
      <xdr:col>5</xdr:col>
      <xdr:colOff>299545</xdr:colOff>
      <xdr:row>8</xdr:row>
      <xdr:rowOff>137859</xdr:rowOff>
    </xdr:to>
    <xdr:cxnSp macro="">
      <xdr:nvCxnSpPr>
        <xdr:cNvPr id="257" name="直線矢印コネクタ 256"/>
        <xdr:cNvCxnSpPr>
          <a:stCxn id="247" idx="3"/>
          <a:endCxn id="254" idx="1"/>
        </xdr:cNvCxnSpPr>
      </xdr:nvCxnSpPr>
      <xdr:spPr>
        <a:xfrm>
          <a:off x="2806038" y="1413381"/>
          <a:ext cx="3269246"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388314</xdr:colOff>
      <xdr:row>10</xdr:row>
      <xdr:rowOff>88349</xdr:rowOff>
    </xdr:from>
    <xdr:ext cx="685509" cy="275717"/>
    <xdr:sp macro="" textlink="">
      <xdr:nvSpPr>
        <xdr:cNvPr id="262" name="テキスト ボックス 261"/>
        <xdr:cNvSpPr txBox="1"/>
      </xdr:nvSpPr>
      <xdr:spPr>
        <a:xfrm>
          <a:off x="4731714" y="2075899"/>
          <a:ext cx="685509"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カンバン</a:t>
          </a:r>
        </a:p>
      </xdr:txBody>
    </xdr:sp>
    <xdr:clientData/>
  </xdr:oneCellAnchor>
  <xdr:oneCellAnchor>
    <xdr:from>
      <xdr:col>5</xdr:col>
      <xdr:colOff>346642</xdr:colOff>
      <xdr:row>10</xdr:row>
      <xdr:rowOff>88349</xdr:rowOff>
    </xdr:from>
    <xdr:ext cx="748923" cy="275717"/>
    <xdr:sp macro="" textlink="">
      <xdr:nvSpPr>
        <xdr:cNvPr id="273" name="テキスト ボックス 272"/>
        <xdr:cNvSpPr txBox="1"/>
      </xdr:nvSpPr>
      <xdr:spPr>
        <a:xfrm>
          <a:off x="6122381" y="1717262"/>
          <a:ext cx="748923"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出荷作業</a:t>
          </a:r>
        </a:p>
      </xdr:txBody>
    </xdr:sp>
    <xdr:clientData/>
  </xdr:oneCellAnchor>
  <xdr:twoCellAnchor>
    <xdr:from>
      <xdr:col>5</xdr:col>
      <xdr:colOff>721103</xdr:colOff>
      <xdr:row>9</xdr:row>
      <xdr:rowOff>99022</xdr:rowOff>
    </xdr:from>
    <xdr:to>
      <xdr:col>5</xdr:col>
      <xdr:colOff>721104</xdr:colOff>
      <xdr:row>10</xdr:row>
      <xdr:rowOff>88349</xdr:rowOff>
    </xdr:to>
    <xdr:cxnSp macro="">
      <xdr:nvCxnSpPr>
        <xdr:cNvPr id="275" name="直線矢印コネクタ 274"/>
        <xdr:cNvCxnSpPr>
          <a:stCxn id="254" idx="2"/>
          <a:endCxn id="273" idx="0"/>
        </xdr:cNvCxnSpPr>
      </xdr:nvCxnSpPr>
      <xdr:spPr>
        <a:xfrm>
          <a:off x="6496842" y="1551239"/>
          <a:ext cx="1" cy="166023"/>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1073823</xdr:colOff>
      <xdr:row>11</xdr:row>
      <xdr:rowOff>48408</xdr:rowOff>
    </xdr:from>
    <xdr:to>
      <xdr:col>5</xdr:col>
      <xdr:colOff>346642</xdr:colOff>
      <xdr:row>11</xdr:row>
      <xdr:rowOff>48408</xdr:rowOff>
    </xdr:to>
    <xdr:cxnSp macro="">
      <xdr:nvCxnSpPr>
        <xdr:cNvPr id="297" name="直線矢印コネクタ 296"/>
        <xdr:cNvCxnSpPr>
          <a:stCxn id="273" idx="1"/>
          <a:endCxn id="262" idx="3"/>
        </xdr:cNvCxnSpPr>
      </xdr:nvCxnSpPr>
      <xdr:spPr>
        <a:xfrm flipH="1">
          <a:off x="5417223" y="2213758"/>
          <a:ext cx="701569"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1220305</xdr:colOff>
      <xdr:row>11</xdr:row>
      <xdr:rowOff>27609</xdr:rowOff>
    </xdr:from>
    <xdr:ext cx="1445973" cy="275717"/>
    <xdr:sp macro="" textlink="">
      <xdr:nvSpPr>
        <xdr:cNvPr id="309" name="テキスト ボックス 308"/>
        <xdr:cNvSpPr txBox="1"/>
      </xdr:nvSpPr>
      <xdr:spPr>
        <a:xfrm>
          <a:off x="2992783" y="1833218"/>
          <a:ext cx="1445973" cy="27571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rgbClr val="FF0000"/>
              </a:solidFill>
            </a:rPr>
            <a:t>※</a:t>
          </a:r>
          <a:r>
            <a:rPr kumimoji="1" lang="ja-JP" altLang="en-US" sz="1100">
              <a:solidFill>
                <a:srgbClr val="FF0000"/>
              </a:solidFill>
            </a:rPr>
            <a:t>製品切替時に印刷</a:t>
          </a:r>
        </a:p>
      </xdr:txBody>
    </xdr:sp>
    <xdr:clientData/>
  </xdr:oneCellAnchor>
  <xdr:oneCellAnchor>
    <xdr:from>
      <xdr:col>3</xdr:col>
      <xdr:colOff>358914</xdr:colOff>
      <xdr:row>3</xdr:row>
      <xdr:rowOff>132522</xdr:rowOff>
    </xdr:from>
    <xdr:ext cx="3733972" cy="183384"/>
    <xdr:sp macro="" textlink="">
      <xdr:nvSpPr>
        <xdr:cNvPr id="313" name="テキスト ボックス 312"/>
        <xdr:cNvSpPr txBox="1"/>
      </xdr:nvSpPr>
      <xdr:spPr>
        <a:xfrm>
          <a:off x="3445566" y="817218"/>
          <a:ext cx="3733972"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r"/>
          <a:r>
            <a:rPr kumimoji="1" lang="en-US" altLang="ja-JP" sz="1100"/>
            <a:t>※</a:t>
          </a:r>
          <a:r>
            <a:rPr kumimoji="1" lang="ja-JP" altLang="en-US" sz="1100"/>
            <a:t>「カンバン」はトヨタ生産方式の「カンバン」を示します</a:t>
          </a:r>
        </a:p>
      </xdr:txBody>
    </xdr:sp>
    <xdr:clientData/>
  </xdr:oneCellAnchor>
  <xdr:twoCellAnchor>
    <xdr:from>
      <xdr:col>4</xdr:col>
      <xdr:colOff>1134480</xdr:colOff>
      <xdr:row>8</xdr:row>
      <xdr:rowOff>137859</xdr:rowOff>
    </xdr:from>
    <xdr:to>
      <xdr:col>5</xdr:col>
      <xdr:colOff>299545</xdr:colOff>
      <xdr:row>35</xdr:row>
      <xdr:rowOff>151663</xdr:rowOff>
    </xdr:to>
    <xdr:cxnSp macro="">
      <xdr:nvCxnSpPr>
        <xdr:cNvPr id="318" name="カギ線コネクタ 317"/>
        <xdr:cNvCxnSpPr>
          <a:stCxn id="68" idx="3"/>
          <a:endCxn id="254" idx="1"/>
        </xdr:cNvCxnSpPr>
      </xdr:nvCxnSpPr>
      <xdr:spPr>
        <a:xfrm flipV="1">
          <a:off x="5480089" y="1413381"/>
          <a:ext cx="595195" cy="4784586"/>
        </a:xfrm>
        <a:prstGeom prst="bentConnector3">
          <a:avLst>
            <a:gd name="adj1" fmla="val 71338"/>
          </a:avLst>
        </a:prstGeom>
        <a:ln w="12700">
          <a:solidFill>
            <a:sysClr val="windowText" lastClr="000000"/>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598638</xdr:colOff>
      <xdr:row>45</xdr:row>
      <xdr:rowOff>69020</xdr:rowOff>
    </xdr:from>
    <xdr:ext cx="466794" cy="275717"/>
    <xdr:sp macro="" textlink="">
      <xdr:nvSpPr>
        <xdr:cNvPr id="337" name="テキスト ボックス 336"/>
        <xdr:cNvSpPr txBox="1"/>
      </xdr:nvSpPr>
      <xdr:spPr>
        <a:xfrm>
          <a:off x="720116" y="8235672"/>
          <a:ext cx="466794" cy="2757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納品</a:t>
          </a:r>
        </a:p>
      </xdr:txBody>
    </xdr:sp>
    <xdr:clientData/>
  </xdr:oneCellAnchor>
  <xdr:twoCellAnchor>
    <xdr:from>
      <xdr:col>1</xdr:col>
      <xdr:colOff>1065432</xdr:colOff>
      <xdr:row>46</xdr:row>
      <xdr:rowOff>30183</xdr:rowOff>
    </xdr:from>
    <xdr:to>
      <xdr:col>5</xdr:col>
      <xdr:colOff>489084</xdr:colOff>
      <xdr:row>46</xdr:row>
      <xdr:rowOff>30183</xdr:rowOff>
    </xdr:to>
    <xdr:cxnSp macro="">
      <xdr:nvCxnSpPr>
        <xdr:cNvPr id="342" name="直線矢印コネクタ 341"/>
        <xdr:cNvCxnSpPr>
          <a:stCxn id="168" idx="1"/>
          <a:endCxn id="337" idx="3"/>
        </xdr:cNvCxnSpPr>
      </xdr:nvCxnSpPr>
      <xdr:spPr>
        <a:xfrm flipH="1">
          <a:off x="1186910" y="8373531"/>
          <a:ext cx="5077913"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544159</xdr:colOff>
      <xdr:row>1</xdr:row>
      <xdr:rowOff>317776</xdr:rowOff>
    </xdr:from>
    <xdr:ext cx="709276" cy="179180"/>
    <xdr:sp macro="" textlink="">
      <xdr:nvSpPr>
        <xdr:cNvPr id="347" name="テキスト ボックス 346"/>
        <xdr:cNvSpPr txBox="1"/>
      </xdr:nvSpPr>
      <xdr:spPr>
        <a:xfrm>
          <a:off x="6319898" y="494472"/>
          <a:ext cx="709276" cy="179180"/>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ja-JP" altLang="en-US" sz="1100">
            <a:solidFill>
              <a:schemeClr val="bg1"/>
            </a:solidFill>
          </a:endParaRPr>
        </a:p>
      </xdr:txBody>
    </xdr:sp>
    <xdr:clientData/>
  </xdr:oneCellAnchor>
  <xdr:oneCellAnchor>
    <xdr:from>
      <xdr:col>4</xdr:col>
      <xdr:colOff>1242577</xdr:colOff>
      <xdr:row>1</xdr:row>
      <xdr:rowOff>314739</xdr:rowOff>
    </xdr:from>
    <xdr:ext cx="748923" cy="183384"/>
    <xdr:sp macro="" textlink="">
      <xdr:nvSpPr>
        <xdr:cNvPr id="348" name="テキスト ボックス 347"/>
        <xdr:cNvSpPr txBox="1"/>
      </xdr:nvSpPr>
      <xdr:spPr>
        <a:xfrm>
          <a:off x="5588186" y="491435"/>
          <a:ext cx="748923"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tIns="0" bIns="0" rtlCol="0" anchor="t">
          <a:spAutoFit/>
        </a:bodyPr>
        <a:lstStyle/>
        <a:p>
          <a:r>
            <a:rPr kumimoji="1" lang="ja-JP" altLang="en-US" sz="1100"/>
            <a:t>新規追加</a:t>
          </a:r>
        </a:p>
      </xdr:txBody>
    </xdr:sp>
    <xdr:clientData/>
  </xdr:oneCellAnchor>
  <xdr:oneCellAnchor>
    <xdr:from>
      <xdr:col>3</xdr:col>
      <xdr:colOff>226391</xdr:colOff>
      <xdr:row>13</xdr:row>
      <xdr:rowOff>110432</xdr:rowOff>
    </xdr:from>
    <xdr:ext cx="859659" cy="275717"/>
    <xdr:sp macro="" textlink="">
      <xdr:nvSpPr>
        <xdr:cNvPr id="354" name="テキスト ボックス 353"/>
        <xdr:cNvSpPr txBox="1"/>
      </xdr:nvSpPr>
      <xdr:spPr>
        <a:xfrm>
          <a:off x="3313043" y="2622823"/>
          <a:ext cx="859659" cy="275717"/>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solidFill>
                <a:schemeClr val="bg1"/>
              </a:solidFill>
            </a:rPr>
            <a:t>生産データ</a:t>
          </a:r>
        </a:p>
      </xdr:txBody>
    </xdr:sp>
    <xdr:clientData/>
  </xdr:oneCellAnchor>
  <xdr:twoCellAnchor>
    <xdr:from>
      <xdr:col>2</xdr:col>
      <xdr:colOff>659099</xdr:colOff>
      <xdr:row>12</xdr:row>
      <xdr:rowOff>10674</xdr:rowOff>
    </xdr:from>
    <xdr:to>
      <xdr:col>3</xdr:col>
      <xdr:colOff>226391</xdr:colOff>
      <xdr:row>14</xdr:row>
      <xdr:rowOff>71595</xdr:rowOff>
    </xdr:to>
    <xdr:cxnSp macro="">
      <xdr:nvCxnSpPr>
        <xdr:cNvPr id="355" name="カギ線コネクタ 354"/>
        <xdr:cNvCxnSpPr>
          <a:stCxn id="3" idx="2"/>
          <a:endCxn id="354" idx="1"/>
        </xdr:cNvCxnSpPr>
      </xdr:nvCxnSpPr>
      <xdr:spPr>
        <a:xfrm rot="16200000" flipH="1">
          <a:off x="2665154" y="2112793"/>
          <a:ext cx="414312" cy="881466"/>
        </a:xfrm>
        <a:prstGeom prst="bentConnector2">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1086050</xdr:colOff>
      <xdr:row>14</xdr:row>
      <xdr:rowOff>71595</xdr:rowOff>
    </xdr:from>
    <xdr:to>
      <xdr:col>4</xdr:col>
      <xdr:colOff>334325</xdr:colOff>
      <xdr:row>23</xdr:row>
      <xdr:rowOff>10858</xdr:rowOff>
    </xdr:to>
    <xdr:cxnSp macro="">
      <xdr:nvCxnSpPr>
        <xdr:cNvPr id="358" name="カギ線コネクタ 357"/>
        <xdr:cNvCxnSpPr>
          <a:stCxn id="354" idx="3"/>
          <a:endCxn id="35" idx="1"/>
        </xdr:cNvCxnSpPr>
      </xdr:nvCxnSpPr>
      <xdr:spPr>
        <a:xfrm>
          <a:off x="4172702" y="2760682"/>
          <a:ext cx="507232" cy="1529524"/>
        </a:xfrm>
        <a:prstGeom prst="bentConnector3">
          <a:avLst>
            <a:gd name="adj1" fmla="val 69595"/>
          </a:avLst>
        </a:prstGeom>
        <a:ln w="12700">
          <a:solidFill>
            <a:sysClr val="windowText" lastClr="000000"/>
          </a:solidFill>
          <a:prstDash val="dashDot"/>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30</xdr:row>
      <xdr:rowOff>9264</xdr:rowOff>
    </xdr:from>
    <xdr:to>
      <xdr:col>4</xdr:col>
      <xdr:colOff>254000</xdr:colOff>
      <xdr:row>33</xdr:row>
      <xdr:rowOff>0</xdr:rowOff>
    </xdr:to>
    <xdr:sp macro="" textlink="">
      <xdr:nvSpPr>
        <xdr:cNvPr id="2" name="正方形/長方形 1"/>
        <xdr:cNvSpPr/>
      </xdr:nvSpPr>
      <xdr:spPr>
        <a:xfrm>
          <a:off x="535609" y="3984916"/>
          <a:ext cx="1678608" cy="487693"/>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実績入力システム</a:t>
          </a:r>
        </a:p>
      </xdr:txBody>
    </xdr:sp>
    <xdr:clientData/>
  </xdr:twoCellAnchor>
  <xdr:twoCellAnchor editAs="oneCell">
    <xdr:from>
      <xdr:col>5</xdr:col>
      <xdr:colOff>663160</xdr:colOff>
      <xdr:row>29</xdr:row>
      <xdr:rowOff>164338</xdr:rowOff>
    </xdr:from>
    <xdr:to>
      <xdr:col>6</xdr:col>
      <xdr:colOff>2856</xdr:colOff>
      <xdr:row>32</xdr:row>
      <xdr:rowOff>155627</xdr:rowOff>
    </xdr:to>
    <xdr:sp macro="" textlink="">
      <xdr:nvSpPr>
        <xdr:cNvPr id="3" name="正方形/長方形 2"/>
        <xdr:cNvSpPr/>
      </xdr:nvSpPr>
      <xdr:spPr>
        <a:xfrm>
          <a:off x="3263899" y="3974338"/>
          <a:ext cx="1827144" cy="488246"/>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手圧着</a:t>
          </a:r>
          <a:r>
            <a:rPr kumimoji="1" lang="en-US" altLang="ja-JP" sz="1100">
              <a:solidFill>
                <a:sysClr val="windowText" lastClr="000000"/>
              </a:solidFill>
            </a:rPr>
            <a:t>+</a:t>
          </a:r>
          <a:r>
            <a:rPr kumimoji="1" lang="ja-JP" altLang="en-US" sz="1100">
              <a:solidFill>
                <a:sysClr val="windowText" lastClr="000000"/>
              </a:solidFill>
            </a:rPr>
            <a:t>ジョイント</a:t>
          </a:r>
        </a:p>
      </xdr:txBody>
    </xdr:sp>
    <xdr:clientData/>
  </xdr:twoCellAnchor>
  <xdr:twoCellAnchor editAs="oneCell">
    <xdr:from>
      <xdr:col>5</xdr:col>
      <xdr:colOff>663160</xdr:colOff>
      <xdr:row>34</xdr:row>
      <xdr:rowOff>0</xdr:rowOff>
    </xdr:from>
    <xdr:to>
      <xdr:col>6</xdr:col>
      <xdr:colOff>2856</xdr:colOff>
      <xdr:row>36</xdr:row>
      <xdr:rowOff>155627</xdr:rowOff>
    </xdr:to>
    <xdr:sp macro="" textlink="">
      <xdr:nvSpPr>
        <xdr:cNvPr id="4" name="正方形/長方形 3"/>
        <xdr:cNvSpPr/>
      </xdr:nvSpPr>
      <xdr:spPr>
        <a:xfrm>
          <a:off x="3263899" y="4638261"/>
          <a:ext cx="1827144" cy="486931"/>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皮むき</a:t>
          </a:r>
          <a:endParaRPr kumimoji="1" lang="en-US" altLang="ja-JP" sz="1100">
            <a:solidFill>
              <a:sysClr val="windowText" lastClr="000000"/>
            </a:solidFill>
          </a:endParaRPr>
        </a:p>
      </xdr:txBody>
    </xdr:sp>
    <xdr:clientData/>
  </xdr:twoCellAnchor>
  <xdr:twoCellAnchor editAs="oneCell">
    <xdr:from>
      <xdr:col>5</xdr:col>
      <xdr:colOff>663160</xdr:colOff>
      <xdr:row>37</xdr:row>
      <xdr:rowOff>165652</xdr:rowOff>
    </xdr:from>
    <xdr:to>
      <xdr:col>6</xdr:col>
      <xdr:colOff>2856</xdr:colOff>
      <xdr:row>40</xdr:row>
      <xdr:rowOff>155626</xdr:rowOff>
    </xdr:to>
    <xdr:sp macro="" textlink="">
      <xdr:nvSpPr>
        <xdr:cNvPr id="5" name="正方形/長方形 4"/>
        <xdr:cNvSpPr/>
      </xdr:nvSpPr>
      <xdr:spPr>
        <a:xfrm>
          <a:off x="3263899" y="5300869"/>
          <a:ext cx="1827144" cy="486932"/>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シールド切断</a:t>
          </a:r>
          <a:endParaRPr kumimoji="1" lang="en-US" altLang="ja-JP" sz="1100">
            <a:solidFill>
              <a:sysClr val="windowText" lastClr="000000"/>
            </a:solidFill>
          </a:endParaRPr>
        </a:p>
      </xdr:txBody>
    </xdr:sp>
    <xdr:clientData/>
  </xdr:twoCellAnchor>
  <xdr:twoCellAnchor>
    <xdr:from>
      <xdr:col>4</xdr:col>
      <xdr:colOff>254000</xdr:colOff>
      <xdr:row>31</xdr:row>
      <xdr:rowOff>77157</xdr:rowOff>
    </xdr:from>
    <xdr:to>
      <xdr:col>5</xdr:col>
      <xdr:colOff>663160</xdr:colOff>
      <xdr:row>31</xdr:row>
      <xdr:rowOff>87459</xdr:rowOff>
    </xdr:to>
    <xdr:cxnSp macro="">
      <xdr:nvCxnSpPr>
        <xdr:cNvPr id="6" name="直線矢印コネクタ 5"/>
        <xdr:cNvCxnSpPr>
          <a:stCxn id="2" idx="3"/>
          <a:endCxn id="3" idx="1"/>
        </xdr:cNvCxnSpPr>
      </xdr:nvCxnSpPr>
      <xdr:spPr>
        <a:xfrm flipV="1">
          <a:off x="2214217" y="4218461"/>
          <a:ext cx="1049682" cy="10302"/>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31</xdr:row>
      <xdr:rowOff>87459</xdr:rowOff>
    </xdr:from>
    <xdr:to>
      <xdr:col>5</xdr:col>
      <xdr:colOff>663160</xdr:colOff>
      <xdr:row>35</xdr:row>
      <xdr:rowOff>77814</xdr:rowOff>
    </xdr:to>
    <xdr:cxnSp macro="">
      <xdr:nvCxnSpPr>
        <xdr:cNvPr id="7" name="直線矢印コネクタ 6"/>
        <xdr:cNvCxnSpPr>
          <a:stCxn id="2" idx="3"/>
          <a:endCxn id="4" idx="1"/>
        </xdr:cNvCxnSpPr>
      </xdr:nvCxnSpPr>
      <xdr:spPr>
        <a:xfrm>
          <a:off x="2214217" y="4228763"/>
          <a:ext cx="1049682" cy="652964"/>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31</xdr:row>
      <xdr:rowOff>87459</xdr:rowOff>
    </xdr:from>
    <xdr:to>
      <xdr:col>5</xdr:col>
      <xdr:colOff>663160</xdr:colOff>
      <xdr:row>39</xdr:row>
      <xdr:rowOff>77813</xdr:rowOff>
    </xdr:to>
    <xdr:cxnSp macro="">
      <xdr:nvCxnSpPr>
        <xdr:cNvPr id="8" name="直線矢印コネクタ 7"/>
        <xdr:cNvCxnSpPr>
          <a:stCxn id="2" idx="3"/>
          <a:endCxn id="5" idx="1"/>
        </xdr:cNvCxnSpPr>
      </xdr:nvCxnSpPr>
      <xdr:spPr>
        <a:xfrm>
          <a:off x="2214217" y="4228763"/>
          <a:ext cx="1049682" cy="1315572"/>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902138</xdr:colOff>
      <xdr:row>49</xdr:row>
      <xdr:rowOff>50581</xdr:rowOff>
    </xdr:from>
    <xdr:to>
      <xdr:col>5</xdr:col>
      <xdr:colOff>2185276</xdr:colOff>
      <xdr:row>51</xdr:row>
      <xdr:rowOff>154323</xdr:rowOff>
    </xdr:to>
    <xdr:sp macro="" textlink="">
      <xdr:nvSpPr>
        <xdr:cNvPr id="12" name="角丸四角形吹き出し 11"/>
        <xdr:cNvSpPr/>
      </xdr:nvSpPr>
      <xdr:spPr>
        <a:xfrm>
          <a:off x="1926897" y="8038443"/>
          <a:ext cx="2855310" cy="436570"/>
        </a:xfrm>
        <a:prstGeom prst="wedgeRoundRectCallout">
          <a:avLst>
            <a:gd name="adj1" fmla="val -36942"/>
            <a:gd name="adj2" fmla="val 77603"/>
            <a:gd name="adj3" fmla="val 16667"/>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72000" rIns="0" rtlCol="0" anchor="ctr" anchorCtr="0"/>
        <a:lstStyle/>
        <a:p>
          <a:pPr algn="l"/>
          <a:r>
            <a:rPr kumimoji="1" lang="ja-JP" altLang="en-US" sz="1100">
              <a:solidFill>
                <a:sysClr val="windowText" lastClr="000000"/>
              </a:solidFill>
            </a:rPr>
            <a:t>サーバーを</a:t>
          </a:r>
          <a:r>
            <a:rPr kumimoji="1" lang="en-US" altLang="ja-JP" sz="1100">
              <a:solidFill>
                <a:sysClr val="windowText" lastClr="000000"/>
              </a:solidFill>
            </a:rPr>
            <a:t>WEB</a:t>
          </a:r>
          <a:r>
            <a:rPr kumimoji="1" lang="ja-JP" altLang="en-US" sz="1100">
              <a:solidFill>
                <a:sysClr val="windowText" lastClr="000000"/>
              </a:solidFill>
            </a:rPr>
            <a:t>サーバーにする事で可能</a:t>
          </a:r>
        </a:p>
      </xdr:txBody>
    </xdr:sp>
    <xdr:clientData/>
  </xdr:twoCellAnchor>
  <xdr:twoCellAnchor>
    <xdr:from>
      <xdr:col>3</xdr:col>
      <xdr:colOff>347870</xdr:colOff>
      <xdr:row>33</xdr:row>
      <xdr:rowOff>0</xdr:rowOff>
    </xdr:from>
    <xdr:to>
      <xdr:col>3</xdr:col>
      <xdr:colOff>347870</xdr:colOff>
      <xdr:row>38</xdr:row>
      <xdr:rowOff>9263</xdr:rowOff>
    </xdr:to>
    <xdr:cxnSp macro="">
      <xdr:nvCxnSpPr>
        <xdr:cNvPr id="51" name="直線矢印コネクタ 50"/>
        <xdr:cNvCxnSpPr>
          <a:stCxn id="2" idx="2"/>
          <a:endCxn id="58" idx="0"/>
        </xdr:cNvCxnSpPr>
      </xdr:nvCxnSpPr>
      <xdr:spPr>
        <a:xfrm>
          <a:off x="1374913" y="4472609"/>
          <a:ext cx="0" cy="837524"/>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38</xdr:row>
      <xdr:rowOff>9263</xdr:rowOff>
    </xdr:from>
    <xdr:to>
      <xdr:col>4</xdr:col>
      <xdr:colOff>254000</xdr:colOff>
      <xdr:row>41</xdr:row>
      <xdr:rowOff>0</xdr:rowOff>
    </xdr:to>
    <xdr:sp macro="" textlink="">
      <xdr:nvSpPr>
        <xdr:cNvPr id="58" name="正方形/長方形 57"/>
        <xdr:cNvSpPr/>
      </xdr:nvSpPr>
      <xdr:spPr>
        <a:xfrm>
          <a:off x="535609" y="5310133"/>
          <a:ext cx="1678608" cy="487693"/>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準完チェック</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47</xdr:col>
      <xdr:colOff>57150</xdr:colOff>
      <xdr:row>17</xdr:row>
      <xdr:rowOff>138835</xdr:rowOff>
    </xdr:from>
    <xdr:to>
      <xdr:col>78</xdr:col>
      <xdr:colOff>127000</xdr:colOff>
      <xdr:row>65</xdr:row>
      <xdr:rowOff>152400</xdr:rowOff>
    </xdr:to>
    <xdr:sp macro="" textlink="">
      <xdr:nvSpPr>
        <xdr:cNvPr id="2" name="フリーフォーム 410">
          <a:extLst>
            <a:ext uri="{FF2B5EF4-FFF2-40B4-BE49-F238E27FC236}">
              <a16:creationId xmlns:a16="http://schemas.microsoft.com/office/drawing/2014/main" xmlns="" id="{C86DEF57-3F65-4982-AF0B-6BD596FE9BB6}"/>
            </a:ext>
          </a:extLst>
        </xdr:cNvPr>
        <xdr:cNvSpPr/>
      </xdr:nvSpPr>
      <xdr:spPr bwMode="auto">
        <a:xfrm>
          <a:off x="8739332" y="2990562"/>
          <a:ext cx="5796395" cy="9088293"/>
        </a:xfrm>
        <a:custGeom>
          <a:avLst/>
          <a:gdLst>
            <a:gd name="connsiteX0" fmla="*/ 0 w 4216400"/>
            <a:gd name="connsiteY0" fmla="*/ 0 h 8737600"/>
            <a:gd name="connsiteX1" fmla="*/ 4216400 w 4216400"/>
            <a:gd name="connsiteY1" fmla="*/ 0 h 8737600"/>
            <a:gd name="connsiteX2" fmla="*/ 4216400 w 4216400"/>
            <a:gd name="connsiteY2" fmla="*/ 8737600 h 8737600"/>
            <a:gd name="connsiteX3" fmla="*/ 0 w 4216400"/>
            <a:gd name="connsiteY3" fmla="*/ 8737600 h 8737600"/>
            <a:gd name="connsiteX4" fmla="*/ 0 w 4216400"/>
            <a:gd name="connsiteY4" fmla="*/ 0 h 8737600"/>
            <a:gd name="connsiteX0" fmla="*/ 0 w 4216400"/>
            <a:gd name="connsiteY0" fmla="*/ 0 h 8737600"/>
            <a:gd name="connsiteX1" fmla="*/ 4216400 w 4216400"/>
            <a:gd name="connsiteY1" fmla="*/ 0 h 8737600"/>
            <a:gd name="connsiteX2" fmla="*/ 4216400 w 4216400"/>
            <a:gd name="connsiteY2" fmla="*/ 8737600 h 8737600"/>
            <a:gd name="connsiteX3" fmla="*/ 1054100 w 4216400"/>
            <a:gd name="connsiteY3" fmla="*/ 8737600 h 8737600"/>
            <a:gd name="connsiteX4" fmla="*/ 0 w 4216400"/>
            <a:gd name="connsiteY4" fmla="*/ 8737600 h 8737600"/>
            <a:gd name="connsiteX5" fmla="*/ 0 w 4216400"/>
            <a:gd name="connsiteY5" fmla="*/ 0 h 8737600"/>
            <a:gd name="connsiteX0" fmla="*/ 25400 w 4241800"/>
            <a:gd name="connsiteY0" fmla="*/ 0 h 8737600"/>
            <a:gd name="connsiteX1" fmla="*/ 4241800 w 4241800"/>
            <a:gd name="connsiteY1" fmla="*/ 0 h 8737600"/>
            <a:gd name="connsiteX2" fmla="*/ 4241800 w 4241800"/>
            <a:gd name="connsiteY2" fmla="*/ 8737600 h 8737600"/>
            <a:gd name="connsiteX3" fmla="*/ 1079500 w 4241800"/>
            <a:gd name="connsiteY3" fmla="*/ 8737600 h 8737600"/>
            <a:gd name="connsiteX4" fmla="*/ 0 w 4241800"/>
            <a:gd name="connsiteY4" fmla="*/ 4279900 h 8737600"/>
            <a:gd name="connsiteX5" fmla="*/ 25400 w 4241800"/>
            <a:gd name="connsiteY5" fmla="*/ 0 h 8737600"/>
            <a:gd name="connsiteX0" fmla="*/ 25400 w 4241800"/>
            <a:gd name="connsiteY0" fmla="*/ 0 h 8737600"/>
            <a:gd name="connsiteX1" fmla="*/ 4241800 w 4241800"/>
            <a:gd name="connsiteY1" fmla="*/ 0 h 8737600"/>
            <a:gd name="connsiteX2" fmla="*/ 4241800 w 4241800"/>
            <a:gd name="connsiteY2" fmla="*/ 8737600 h 8737600"/>
            <a:gd name="connsiteX3" fmla="*/ 1079500 w 4241800"/>
            <a:gd name="connsiteY3" fmla="*/ 8737600 h 8737600"/>
            <a:gd name="connsiteX4" fmla="*/ 381000 w 4241800"/>
            <a:gd name="connsiteY4" fmla="*/ 5969000 h 8737600"/>
            <a:gd name="connsiteX5" fmla="*/ 0 w 4241800"/>
            <a:gd name="connsiteY5" fmla="*/ 4279900 h 8737600"/>
            <a:gd name="connsiteX6" fmla="*/ 25400 w 4241800"/>
            <a:gd name="connsiteY6" fmla="*/ 0 h 8737600"/>
            <a:gd name="connsiteX0" fmla="*/ 25400 w 4241800"/>
            <a:gd name="connsiteY0" fmla="*/ 0 h 8737600"/>
            <a:gd name="connsiteX1" fmla="*/ 4241800 w 4241800"/>
            <a:gd name="connsiteY1" fmla="*/ 0 h 8737600"/>
            <a:gd name="connsiteX2" fmla="*/ 4241800 w 4241800"/>
            <a:gd name="connsiteY2" fmla="*/ 8737600 h 8737600"/>
            <a:gd name="connsiteX3" fmla="*/ 1079500 w 4241800"/>
            <a:gd name="connsiteY3" fmla="*/ 8737600 h 8737600"/>
            <a:gd name="connsiteX4" fmla="*/ 1066800 w 4241800"/>
            <a:gd name="connsiteY4" fmla="*/ 4279900 h 8737600"/>
            <a:gd name="connsiteX5" fmla="*/ 0 w 4241800"/>
            <a:gd name="connsiteY5" fmla="*/ 4279900 h 8737600"/>
            <a:gd name="connsiteX6" fmla="*/ 25400 w 4241800"/>
            <a:gd name="connsiteY6" fmla="*/ 0 h 8737600"/>
            <a:gd name="connsiteX0" fmla="*/ 25400 w 4241800"/>
            <a:gd name="connsiteY0" fmla="*/ 0 h 8737600"/>
            <a:gd name="connsiteX1" fmla="*/ 4241800 w 4241800"/>
            <a:gd name="connsiteY1" fmla="*/ 0 h 8737600"/>
            <a:gd name="connsiteX2" fmla="*/ 4241800 w 4241800"/>
            <a:gd name="connsiteY2" fmla="*/ 8737600 h 8737600"/>
            <a:gd name="connsiteX3" fmla="*/ 1079500 w 4241800"/>
            <a:gd name="connsiteY3" fmla="*/ 8737600 h 8737600"/>
            <a:gd name="connsiteX4" fmla="*/ 1066800 w 4241800"/>
            <a:gd name="connsiteY4" fmla="*/ 4279900 h 8737600"/>
            <a:gd name="connsiteX5" fmla="*/ 0 w 4241800"/>
            <a:gd name="connsiteY5" fmla="*/ 3810000 h 8737600"/>
            <a:gd name="connsiteX6" fmla="*/ 25400 w 4241800"/>
            <a:gd name="connsiteY6" fmla="*/ 0 h 8737600"/>
            <a:gd name="connsiteX0" fmla="*/ 25400 w 4241800"/>
            <a:gd name="connsiteY0" fmla="*/ 0 h 8737600"/>
            <a:gd name="connsiteX1" fmla="*/ 4241800 w 4241800"/>
            <a:gd name="connsiteY1" fmla="*/ 0 h 8737600"/>
            <a:gd name="connsiteX2" fmla="*/ 4241800 w 4241800"/>
            <a:gd name="connsiteY2" fmla="*/ 8737600 h 8737600"/>
            <a:gd name="connsiteX3" fmla="*/ 1079500 w 4241800"/>
            <a:gd name="connsiteY3" fmla="*/ 8737600 h 8737600"/>
            <a:gd name="connsiteX4" fmla="*/ 1066800 w 4241800"/>
            <a:gd name="connsiteY4" fmla="*/ 4279900 h 8737600"/>
            <a:gd name="connsiteX5" fmla="*/ 520700 w 4241800"/>
            <a:gd name="connsiteY5" fmla="*/ 4064000 h 8737600"/>
            <a:gd name="connsiteX6" fmla="*/ 0 w 4241800"/>
            <a:gd name="connsiteY6" fmla="*/ 3810000 h 8737600"/>
            <a:gd name="connsiteX7" fmla="*/ 25400 w 4241800"/>
            <a:gd name="connsiteY7"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4279900 h 8737600"/>
            <a:gd name="connsiteX5" fmla="*/ 0 w 6210300"/>
            <a:gd name="connsiteY5" fmla="*/ 3835400 h 8737600"/>
            <a:gd name="connsiteX6" fmla="*/ 1968500 w 6210300"/>
            <a:gd name="connsiteY6" fmla="*/ 3810000 h 8737600"/>
            <a:gd name="connsiteX7" fmla="*/ 1993900 w 6210300"/>
            <a:gd name="connsiteY7"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4279900 h 8737600"/>
            <a:gd name="connsiteX5" fmla="*/ 1714500 w 6210300"/>
            <a:gd name="connsiteY5" fmla="*/ 4114800 h 8737600"/>
            <a:gd name="connsiteX6" fmla="*/ 0 w 6210300"/>
            <a:gd name="connsiteY6" fmla="*/ 3835400 h 8737600"/>
            <a:gd name="connsiteX7" fmla="*/ 1968500 w 6210300"/>
            <a:gd name="connsiteY7" fmla="*/ 3810000 h 8737600"/>
            <a:gd name="connsiteX8" fmla="*/ 1993900 w 6210300"/>
            <a:gd name="connsiteY8"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4279900 h 8737600"/>
            <a:gd name="connsiteX5" fmla="*/ 88900 w 6210300"/>
            <a:gd name="connsiteY5" fmla="*/ 5207000 h 8737600"/>
            <a:gd name="connsiteX6" fmla="*/ 0 w 6210300"/>
            <a:gd name="connsiteY6" fmla="*/ 3835400 h 8737600"/>
            <a:gd name="connsiteX7" fmla="*/ 1968500 w 6210300"/>
            <a:gd name="connsiteY7" fmla="*/ 3810000 h 8737600"/>
            <a:gd name="connsiteX8" fmla="*/ 1993900 w 6210300"/>
            <a:gd name="connsiteY8"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5130800 h 8737600"/>
            <a:gd name="connsiteX5" fmla="*/ 88900 w 6210300"/>
            <a:gd name="connsiteY5" fmla="*/ 5207000 h 8737600"/>
            <a:gd name="connsiteX6" fmla="*/ 0 w 6210300"/>
            <a:gd name="connsiteY6" fmla="*/ 3835400 h 8737600"/>
            <a:gd name="connsiteX7" fmla="*/ 1968500 w 6210300"/>
            <a:gd name="connsiteY7" fmla="*/ 3810000 h 8737600"/>
            <a:gd name="connsiteX8" fmla="*/ 1993900 w 6210300"/>
            <a:gd name="connsiteY8"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5219700 h 8737600"/>
            <a:gd name="connsiteX5" fmla="*/ 88900 w 6210300"/>
            <a:gd name="connsiteY5" fmla="*/ 5207000 h 8737600"/>
            <a:gd name="connsiteX6" fmla="*/ 0 w 6210300"/>
            <a:gd name="connsiteY6" fmla="*/ 3835400 h 8737600"/>
            <a:gd name="connsiteX7" fmla="*/ 1968500 w 6210300"/>
            <a:gd name="connsiteY7" fmla="*/ 3810000 h 8737600"/>
            <a:gd name="connsiteX8" fmla="*/ 1993900 w 6210300"/>
            <a:gd name="connsiteY8" fmla="*/ 0 h 8737600"/>
            <a:gd name="connsiteX0" fmla="*/ 2019300 w 6235700"/>
            <a:gd name="connsiteY0" fmla="*/ 0 h 8737600"/>
            <a:gd name="connsiteX1" fmla="*/ 6235700 w 6235700"/>
            <a:gd name="connsiteY1" fmla="*/ 0 h 8737600"/>
            <a:gd name="connsiteX2" fmla="*/ 6235700 w 6235700"/>
            <a:gd name="connsiteY2" fmla="*/ 8737600 h 8737600"/>
            <a:gd name="connsiteX3" fmla="*/ 3073400 w 6235700"/>
            <a:gd name="connsiteY3" fmla="*/ 8737600 h 8737600"/>
            <a:gd name="connsiteX4" fmla="*/ 3060700 w 6235700"/>
            <a:gd name="connsiteY4" fmla="*/ 5219700 h 8737600"/>
            <a:gd name="connsiteX5" fmla="*/ 0 w 6235700"/>
            <a:gd name="connsiteY5" fmla="*/ 5207000 h 8737600"/>
            <a:gd name="connsiteX6" fmla="*/ 25400 w 6235700"/>
            <a:gd name="connsiteY6" fmla="*/ 3835400 h 8737600"/>
            <a:gd name="connsiteX7" fmla="*/ 1993900 w 6235700"/>
            <a:gd name="connsiteY7" fmla="*/ 3810000 h 8737600"/>
            <a:gd name="connsiteX8" fmla="*/ 2019300 w 6235700"/>
            <a:gd name="connsiteY8" fmla="*/ 0 h 8737600"/>
            <a:gd name="connsiteX0" fmla="*/ 1993900 w 6210300"/>
            <a:gd name="connsiteY0" fmla="*/ 0 h 8737600"/>
            <a:gd name="connsiteX1" fmla="*/ 6210300 w 6210300"/>
            <a:gd name="connsiteY1" fmla="*/ 0 h 8737600"/>
            <a:gd name="connsiteX2" fmla="*/ 6210300 w 6210300"/>
            <a:gd name="connsiteY2" fmla="*/ 8737600 h 8737600"/>
            <a:gd name="connsiteX3" fmla="*/ 3048000 w 6210300"/>
            <a:gd name="connsiteY3" fmla="*/ 8737600 h 8737600"/>
            <a:gd name="connsiteX4" fmla="*/ 3035300 w 6210300"/>
            <a:gd name="connsiteY4" fmla="*/ 5219700 h 8737600"/>
            <a:gd name="connsiteX5" fmla="*/ 0 w 6210300"/>
            <a:gd name="connsiteY5" fmla="*/ 5194300 h 8737600"/>
            <a:gd name="connsiteX6" fmla="*/ 0 w 6210300"/>
            <a:gd name="connsiteY6" fmla="*/ 3835400 h 8737600"/>
            <a:gd name="connsiteX7" fmla="*/ 1968500 w 6210300"/>
            <a:gd name="connsiteY7" fmla="*/ 3810000 h 8737600"/>
            <a:gd name="connsiteX8" fmla="*/ 1993900 w 6210300"/>
            <a:gd name="connsiteY8" fmla="*/ 0 h 8737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10300" h="8737600">
              <a:moveTo>
                <a:pt x="1993900" y="0"/>
              </a:moveTo>
              <a:lnTo>
                <a:pt x="6210300" y="0"/>
              </a:lnTo>
              <a:lnTo>
                <a:pt x="6210300" y="8737600"/>
              </a:lnTo>
              <a:lnTo>
                <a:pt x="3048000" y="8737600"/>
              </a:lnTo>
              <a:cubicBezTo>
                <a:pt x="3043767" y="7251700"/>
                <a:pt x="3039533" y="6705600"/>
                <a:pt x="3035300" y="5219700"/>
              </a:cubicBezTo>
              <a:lnTo>
                <a:pt x="0" y="5194300"/>
              </a:lnTo>
              <a:lnTo>
                <a:pt x="0" y="3835400"/>
              </a:lnTo>
              <a:lnTo>
                <a:pt x="1968500" y="3810000"/>
              </a:lnTo>
              <a:lnTo>
                <a:pt x="1993900" y="0"/>
              </a:lnTo>
              <a:close/>
            </a:path>
          </a:pathLst>
        </a:custGeom>
        <a:solidFill>
          <a:schemeClr val="accent4">
            <a:lumMod val="20000"/>
            <a:lumOff val="80000"/>
          </a:schemeClr>
        </a:solidFill>
        <a:ln w="317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61</xdr:col>
      <xdr:colOff>47625</xdr:colOff>
      <xdr:row>47</xdr:row>
      <xdr:rowOff>54552</xdr:rowOff>
    </xdr:from>
    <xdr:to>
      <xdr:col>70</xdr:col>
      <xdr:colOff>47625</xdr:colOff>
      <xdr:row>64</xdr:row>
      <xdr:rowOff>146049</xdr:rowOff>
    </xdr:to>
    <xdr:sp macro="" textlink="">
      <xdr:nvSpPr>
        <xdr:cNvPr id="3" name="正方形/長方形 2">
          <a:extLst>
            <a:ext uri="{FF2B5EF4-FFF2-40B4-BE49-F238E27FC236}">
              <a16:creationId xmlns:a16="http://schemas.microsoft.com/office/drawing/2014/main" xmlns="" id="{AA2E8DDD-4DF8-405E-88A2-32C53E53AC67}"/>
            </a:ext>
          </a:extLst>
        </xdr:cNvPr>
        <xdr:cNvSpPr/>
      </xdr:nvSpPr>
      <xdr:spPr bwMode="auto">
        <a:xfrm rot="16200000">
          <a:off x="10433195" y="9330891"/>
          <a:ext cx="3428134" cy="1662545"/>
        </a:xfrm>
        <a:prstGeom prst="rect">
          <a:avLst/>
        </a:prstGeom>
        <a:solidFill>
          <a:srgbClr val="FFCCFF"/>
        </a:solidFill>
        <a:ln w="317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62</xdr:col>
      <xdr:colOff>76199</xdr:colOff>
      <xdr:row>58</xdr:row>
      <xdr:rowOff>54552</xdr:rowOff>
    </xdr:from>
    <xdr:to>
      <xdr:col>79</xdr:col>
      <xdr:colOff>2596</xdr:colOff>
      <xdr:row>66</xdr:row>
      <xdr:rowOff>102177</xdr:rowOff>
    </xdr:to>
    <xdr:sp macro="" textlink="">
      <xdr:nvSpPr>
        <xdr:cNvPr id="4" name="正方形/長方形 3">
          <a:extLst>
            <a:ext uri="{FF2B5EF4-FFF2-40B4-BE49-F238E27FC236}">
              <a16:creationId xmlns:a16="http://schemas.microsoft.com/office/drawing/2014/main" xmlns="" id="{93B08A31-4CB4-FA5D-2561-7B6BA17AC533}"/>
            </a:ext>
          </a:extLst>
        </xdr:cNvPr>
        <xdr:cNvSpPr/>
      </xdr:nvSpPr>
      <xdr:spPr bwMode="auto">
        <a:xfrm>
          <a:off x="11529290" y="10607097"/>
          <a:ext cx="3066761" cy="1617807"/>
        </a:xfrm>
        <a:prstGeom prst="rect">
          <a:avLst/>
        </a:prstGeom>
        <a:solidFill>
          <a:srgbClr val="FFCCFF"/>
        </a:solidFill>
        <a:ln w="317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30</xdr:col>
      <xdr:colOff>123832</xdr:colOff>
      <xdr:row>39</xdr:row>
      <xdr:rowOff>35497</xdr:rowOff>
    </xdr:from>
    <xdr:to>
      <xdr:col>63</xdr:col>
      <xdr:colOff>2</xdr:colOff>
      <xdr:row>58</xdr:row>
      <xdr:rowOff>121223</xdr:rowOff>
    </xdr:to>
    <xdr:sp macro="" textlink="">
      <xdr:nvSpPr>
        <xdr:cNvPr id="5" name="Freeform 868">
          <a:extLst>
            <a:ext uri="{FF2B5EF4-FFF2-40B4-BE49-F238E27FC236}">
              <a16:creationId xmlns:a16="http://schemas.microsoft.com/office/drawing/2014/main" xmlns="" id="{0A64E09F-028A-4B2A-B43E-C244EE39F566}"/>
            </a:ext>
          </a:extLst>
        </xdr:cNvPr>
        <xdr:cNvSpPr>
          <a:spLocks/>
        </xdr:cNvSpPr>
      </xdr:nvSpPr>
      <xdr:spPr bwMode="auto">
        <a:xfrm rot="16200000">
          <a:off x="6744281" y="5780230"/>
          <a:ext cx="3814907" cy="5972170"/>
        </a:xfrm>
        <a:custGeom>
          <a:avLst/>
          <a:gdLst>
            <a:gd name="connsiteX0" fmla="*/ 0 w 10000"/>
            <a:gd name="connsiteY0" fmla="*/ 2496 h 10000"/>
            <a:gd name="connsiteX1" fmla="*/ 3486 w 10000"/>
            <a:gd name="connsiteY1" fmla="*/ 2512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65 w 10000"/>
            <a:gd name="connsiteY1" fmla="*/ 2534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35 w 10000"/>
            <a:gd name="connsiteY1" fmla="*/ 2360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43 w 10000"/>
            <a:gd name="connsiteY1" fmla="*/ 2491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43 w 10000"/>
            <a:gd name="connsiteY1" fmla="*/ 2382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20 w 10000"/>
            <a:gd name="connsiteY1" fmla="*/ 2387 h 10000"/>
            <a:gd name="connsiteX2" fmla="*/ 4743 w 10000"/>
            <a:gd name="connsiteY2" fmla="*/ 2382 h 10000"/>
            <a:gd name="connsiteX3" fmla="*/ 4589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20 w 10000"/>
            <a:gd name="connsiteY1" fmla="*/ 2387 h 10000"/>
            <a:gd name="connsiteX2" fmla="*/ 4634 w 10000"/>
            <a:gd name="connsiteY2" fmla="*/ 2382 h 10000"/>
            <a:gd name="connsiteX3" fmla="*/ 4589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20 w 10000"/>
            <a:gd name="connsiteY1" fmla="*/ 2387 h 10000"/>
            <a:gd name="connsiteX2" fmla="*/ 4634 w 10000"/>
            <a:gd name="connsiteY2" fmla="*/ 2382 h 10000"/>
            <a:gd name="connsiteX3" fmla="*/ 4628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4634 w 10000"/>
            <a:gd name="connsiteY1" fmla="*/ 2382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2 w 9994"/>
            <a:gd name="connsiteY0" fmla="*/ 2387 h 10000"/>
            <a:gd name="connsiteX1" fmla="*/ 4628 w 9994"/>
            <a:gd name="connsiteY1" fmla="*/ 2491 h 10000"/>
            <a:gd name="connsiteX2" fmla="*/ 4622 w 9994"/>
            <a:gd name="connsiteY2" fmla="*/ 44 h 10000"/>
            <a:gd name="connsiteX3" fmla="*/ 6056 w 9994"/>
            <a:gd name="connsiteY3" fmla="*/ 0 h 10000"/>
            <a:gd name="connsiteX4" fmla="*/ 6062 w 9994"/>
            <a:gd name="connsiteY4" fmla="*/ 4454 h 10000"/>
            <a:gd name="connsiteX5" fmla="*/ 6377 w 9994"/>
            <a:gd name="connsiteY5" fmla="*/ 4486 h 10000"/>
            <a:gd name="connsiteX6" fmla="*/ 6377 w 9994"/>
            <a:gd name="connsiteY6" fmla="*/ 2969 h 10000"/>
            <a:gd name="connsiteX7" fmla="*/ 9988 w 9994"/>
            <a:gd name="connsiteY7" fmla="*/ 2953 h 10000"/>
            <a:gd name="connsiteX8" fmla="*/ 9994 w 9994"/>
            <a:gd name="connsiteY8" fmla="*/ 9967 h 10000"/>
            <a:gd name="connsiteX9" fmla="*/ 7930 w 9994"/>
            <a:gd name="connsiteY9" fmla="*/ 9951 h 10000"/>
            <a:gd name="connsiteX10" fmla="*/ 7924 w 9994"/>
            <a:gd name="connsiteY10" fmla="*/ 9315 h 10000"/>
            <a:gd name="connsiteX11" fmla="*/ 6365 w 9994"/>
            <a:gd name="connsiteY11" fmla="*/ 9347 h 10000"/>
            <a:gd name="connsiteX12" fmla="*/ 6371 w 9994"/>
            <a:gd name="connsiteY12" fmla="*/ 7569 h 10000"/>
            <a:gd name="connsiteX13" fmla="*/ 6056 w 9994"/>
            <a:gd name="connsiteY13" fmla="*/ 7553 h 10000"/>
            <a:gd name="connsiteX14" fmla="*/ 6062 w 9994"/>
            <a:gd name="connsiteY14" fmla="*/ 10000 h 10000"/>
            <a:gd name="connsiteX15" fmla="*/ 0 w 9994"/>
            <a:gd name="connsiteY15" fmla="*/ 9967 h 10000"/>
            <a:gd name="connsiteX0" fmla="*/ 2 w 10000"/>
            <a:gd name="connsiteY0" fmla="*/ 2387 h 10000"/>
            <a:gd name="connsiteX1" fmla="*/ 4631 w 10000"/>
            <a:gd name="connsiteY1" fmla="*/ 2404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31 w 10000"/>
            <a:gd name="connsiteY1" fmla="*/ 2404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25 w 10000"/>
            <a:gd name="connsiteY1" fmla="*/ 44 h 10000"/>
            <a:gd name="connsiteX2" fmla="*/ 6060 w 10000"/>
            <a:gd name="connsiteY2" fmla="*/ 0 h 10000"/>
            <a:gd name="connsiteX3" fmla="*/ 6066 w 10000"/>
            <a:gd name="connsiteY3" fmla="*/ 4454 h 10000"/>
            <a:gd name="connsiteX4" fmla="*/ 6381 w 10000"/>
            <a:gd name="connsiteY4" fmla="*/ 4486 h 10000"/>
            <a:gd name="connsiteX5" fmla="*/ 6381 w 10000"/>
            <a:gd name="connsiteY5" fmla="*/ 2969 h 10000"/>
            <a:gd name="connsiteX6" fmla="*/ 9994 w 10000"/>
            <a:gd name="connsiteY6" fmla="*/ 2953 h 10000"/>
            <a:gd name="connsiteX7" fmla="*/ 10000 w 10000"/>
            <a:gd name="connsiteY7" fmla="*/ 9967 h 10000"/>
            <a:gd name="connsiteX8" fmla="*/ 7935 w 10000"/>
            <a:gd name="connsiteY8" fmla="*/ 9951 h 10000"/>
            <a:gd name="connsiteX9" fmla="*/ 7929 w 10000"/>
            <a:gd name="connsiteY9" fmla="*/ 9315 h 10000"/>
            <a:gd name="connsiteX10" fmla="*/ 6369 w 10000"/>
            <a:gd name="connsiteY10" fmla="*/ 9347 h 10000"/>
            <a:gd name="connsiteX11" fmla="*/ 6375 w 10000"/>
            <a:gd name="connsiteY11" fmla="*/ 7569 h 10000"/>
            <a:gd name="connsiteX12" fmla="*/ 6060 w 10000"/>
            <a:gd name="connsiteY12" fmla="*/ 7553 h 10000"/>
            <a:gd name="connsiteX13" fmla="*/ 6066 w 10000"/>
            <a:gd name="connsiteY13" fmla="*/ 10000 h 10000"/>
            <a:gd name="connsiteX14" fmla="*/ 0 w 10000"/>
            <a:gd name="connsiteY14" fmla="*/ 9967 h 10000"/>
            <a:gd name="connsiteX0" fmla="*/ 2 w 10000"/>
            <a:gd name="connsiteY0" fmla="*/ 2387 h 10000"/>
            <a:gd name="connsiteX1" fmla="*/ 4615 w 10000"/>
            <a:gd name="connsiteY1" fmla="*/ 2365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02 w 10000"/>
            <a:gd name="connsiteY2" fmla="*/ 66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33 w 10000"/>
            <a:gd name="connsiteY2" fmla="*/ 66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473 h 10086"/>
            <a:gd name="connsiteX1" fmla="*/ 4615 w 10000"/>
            <a:gd name="connsiteY1" fmla="*/ 2451 h 10086"/>
            <a:gd name="connsiteX2" fmla="*/ 4610 w 10000"/>
            <a:gd name="connsiteY2" fmla="*/ 0 h 10086"/>
            <a:gd name="connsiteX3" fmla="*/ 6060 w 10000"/>
            <a:gd name="connsiteY3" fmla="*/ 86 h 10086"/>
            <a:gd name="connsiteX4" fmla="*/ 6066 w 10000"/>
            <a:gd name="connsiteY4" fmla="*/ 4540 h 10086"/>
            <a:gd name="connsiteX5" fmla="*/ 6381 w 10000"/>
            <a:gd name="connsiteY5" fmla="*/ 4572 h 10086"/>
            <a:gd name="connsiteX6" fmla="*/ 6381 w 10000"/>
            <a:gd name="connsiteY6" fmla="*/ 3055 h 10086"/>
            <a:gd name="connsiteX7" fmla="*/ 9994 w 10000"/>
            <a:gd name="connsiteY7" fmla="*/ 3039 h 10086"/>
            <a:gd name="connsiteX8" fmla="*/ 10000 w 10000"/>
            <a:gd name="connsiteY8" fmla="*/ 10053 h 10086"/>
            <a:gd name="connsiteX9" fmla="*/ 7935 w 10000"/>
            <a:gd name="connsiteY9" fmla="*/ 10037 h 10086"/>
            <a:gd name="connsiteX10" fmla="*/ 7929 w 10000"/>
            <a:gd name="connsiteY10" fmla="*/ 9401 h 10086"/>
            <a:gd name="connsiteX11" fmla="*/ 6369 w 10000"/>
            <a:gd name="connsiteY11" fmla="*/ 9433 h 10086"/>
            <a:gd name="connsiteX12" fmla="*/ 6375 w 10000"/>
            <a:gd name="connsiteY12" fmla="*/ 7655 h 10086"/>
            <a:gd name="connsiteX13" fmla="*/ 6060 w 10000"/>
            <a:gd name="connsiteY13" fmla="*/ 7639 h 10086"/>
            <a:gd name="connsiteX14" fmla="*/ 6066 w 10000"/>
            <a:gd name="connsiteY14" fmla="*/ 10086 h 10086"/>
            <a:gd name="connsiteX15" fmla="*/ 0 w 10000"/>
            <a:gd name="connsiteY15" fmla="*/ 10053 h 10086"/>
            <a:gd name="connsiteX0" fmla="*/ 2 w 10000"/>
            <a:gd name="connsiteY0" fmla="*/ 2408 h 10021"/>
            <a:gd name="connsiteX1" fmla="*/ 4615 w 10000"/>
            <a:gd name="connsiteY1" fmla="*/ 2386 h 10021"/>
            <a:gd name="connsiteX2" fmla="*/ 4626 w 10000"/>
            <a:gd name="connsiteY2" fmla="*/ 0 h 10021"/>
            <a:gd name="connsiteX3" fmla="*/ 6060 w 10000"/>
            <a:gd name="connsiteY3" fmla="*/ 21 h 10021"/>
            <a:gd name="connsiteX4" fmla="*/ 6066 w 10000"/>
            <a:gd name="connsiteY4" fmla="*/ 4475 h 10021"/>
            <a:gd name="connsiteX5" fmla="*/ 6381 w 10000"/>
            <a:gd name="connsiteY5" fmla="*/ 4507 h 10021"/>
            <a:gd name="connsiteX6" fmla="*/ 6381 w 10000"/>
            <a:gd name="connsiteY6" fmla="*/ 2990 h 10021"/>
            <a:gd name="connsiteX7" fmla="*/ 9994 w 10000"/>
            <a:gd name="connsiteY7" fmla="*/ 2974 h 10021"/>
            <a:gd name="connsiteX8" fmla="*/ 10000 w 10000"/>
            <a:gd name="connsiteY8" fmla="*/ 9988 h 10021"/>
            <a:gd name="connsiteX9" fmla="*/ 7935 w 10000"/>
            <a:gd name="connsiteY9" fmla="*/ 9972 h 10021"/>
            <a:gd name="connsiteX10" fmla="*/ 7929 w 10000"/>
            <a:gd name="connsiteY10" fmla="*/ 9336 h 10021"/>
            <a:gd name="connsiteX11" fmla="*/ 6369 w 10000"/>
            <a:gd name="connsiteY11" fmla="*/ 9368 h 10021"/>
            <a:gd name="connsiteX12" fmla="*/ 6375 w 10000"/>
            <a:gd name="connsiteY12" fmla="*/ 7590 h 10021"/>
            <a:gd name="connsiteX13" fmla="*/ 6060 w 10000"/>
            <a:gd name="connsiteY13" fmla="*/ 7574 h 10021"/>
            <a:gd name="connsiteX14" fmla="*/ 6066 w 10000"/>
            <a:gd name="connsiteY14" fmla="*/ 10021 h 10021"/>
            <a:gd name="connsiteX15" fmla="*/ 0 w 10000"/>
            <a:gd name="connsiteY15" fmla="*/ 9988 h 10021"/>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060 w 10000"/>
            <a:gd name="connsiteY12" fmla="*/ 7553 h 10000"/>
            <a:gd name="connsiteX13" fmla="*/ 6066 w 10000"/>
            <a:gd name="connsiteY13" fmla="*/ 10000 h 10000"/>
            <a:gd name="connsiteX14" fmla="*/ 0 w 10000"/>
            <a:gd name="connsiteY14"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060 w 10000"/>
            <a:gd name="connsiteY11" fmla="*/ 7553 h 10000"/>
            <a:gd name="connsiteX12" fmla="*/ 6066 w 10000"/>
            <a:gd name="connsiteY12" fmla="*/ 10000 h 10000"/>
            <a:gd name="connsiteX13" fmla="*/ 0 w 10000"/>
            <a:gd name="connsiteY13"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6060 w 10000"/>
            <a:gd name="connsiteY10" fmla="*/ 7553 h 10000"/>
            <a:gd name="connsiteX11" fmla="*/ 6066 w 10000"/>
            <a:gd name="connsiteY11" fmla="*/ 10000 h 10000"/>
            <a:gd name="connsiteX12" fmla="*/ 0 w 10000"/>
            <a:gd name="connsiteY12"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6060 w 10000"/>
            <a:gd name="connsiteY9" fmla="*/ 7553 h 10000"/>
            <a:gd name="connsiteX10" fmla="*/ 6066 w 10000"/>
            <a:gd name="connsiteY10" fmla="*/ 10000 h 10000"/>
            <a:gd name="connsiteX11" fmla="*/ 0 w 10000"/>
            <a:gd name="connsiteY11" fmla="*/ 9967 h 10000"/>
            <a:gd name="connsiteX0" fmla="*/ 2 w 9994"/>
            <a:gd name="connsiteY0" fmla="*/ 2387 h 10000"/>
            <a:gd name="connsiteX1" fmla="*/ 4615 w 9994"/>
            <a:gd name="connsiteY1" fmla="*/ 2365 h 10000"/>
            <a:gd name="connsiteX2" fmla="*/ 4610 w 9994"/>
            <a:gd name="connsiteY2" fmla="*/ 1 h 10000"/>
            <a:gd name="connsiteX3" fmla="*/ 6060 w 9994"/>
            <a:gd name="connsiteY3" fmla="*/ 0 h 10000"/>
            <a:gd name="connsiteX4" fmla="*/ 6066 w 9994"/>
            <a:gd name="connsiteY4" fmla="*/ 4454 h 10000"/>
            <a:gd name="connsiteX5" fmla="*/ 6381 w 9994"/>
            <a:gd name="connsiteY5" fmla="*/ 4486 h 10000"/>
            <a:gd name="connsiteX6" fmla="*/ 6381 w 9994"/>
            <a:gd name="connsiteY6" fmla="*/ 2969 h 10000"/>
            <a:gd name="connsiteX7" fmla="*/ 9994 w 9994"/>
            <a:gd name="connsiteY7" fmla="*/ 2953 h 10000"/>
            <a:gd name="connsiteX8" fmla="*/ 6060 w 9994"/>
            <a:gd name="connsiteY8" fmla="*/ 7553 h 10000"/>
            <a:gd name="connsiteX9" fmla="*/ 6066 w 9994"/>
            <a:gd name="connsiteY9" fmla="*/ 10000 h 10000"/>
            <a:gd name="connsiteX10" fmla="*/ 0 w 9994"/>
            <a:gd name="connsiteY10" fmla="*/ 9967 h 10000"/>
            <a:gd name="connsiteX0" fmla="*/ 2 w 6385"/>
            <a:gd name="connsiteY0" fmla="*/ 2387 h 10000"/>
            <a:gd name="connsiteX1" fmla="*/ 4618 w 6385"/>
            <a:gd name="connsiteY1" fmla="*/ 2365 h 10000"/>
            <a:gd name="connsiteX2" fmla="*/ 4613 w 6385"/>
            <a:gd name="connsiteY2" fmla="*/ 1 h 10000"/>
            <a:gd name="connsiteX3" fmla="*/ 6064 w 6385"/>
            <a:gd name="connsiteY3" fmla="*/ 0 h 10000"/>
            <a:gd name="connsiteX4" fmla="*/ 6070 w 6385"/>
            <a:gd name="connsiteY4" fmla="*/ 4454 h 10000"/>
            <a:gd name="connsiteX5" fmla="*/ 6385 w 6385"/>
            <a:gd name="connsiteY5" fmla="*/ 4486 h 10000"/>
            <a:gd name="connsiteX6" fmla="*/ 6385 w 6385"/>
            <a:gd name="connsiteY6" fmla="*/ 2969 h 10000"/>
            <a:gd name="connsiteX7" fmla="*/ 6064 w 6385"/>
            <a:gd name="connsiteY7" fmla="*/ 7553 h 10000"/>
            <a:gd name="connsiteX8" fmla="*/ 6070 w 6385"/>
            <a:gd name="connsiteY8" fmla="*/ 10000 h 10000"/>
            <a:gd name="connsiteX9" fmla="*/ 0 w 6385"/>
            <a:gd name="connsiteY9" fmla="*/ 9967 h 10000"/>
            <a:gd name="connsiteX0" fmla="*/ 3 w 10000"/>
            <a:gd name="connsiteY0" fmla="*/ 2387 h 10000"/>
            <a:gd name="connsiteX1" fmla="*/ 7233 w 10000"/>
            <a:gd name="connsiteY1" fmla="*/ 2365 h 10000"/>
            <a:gd name="connsiteX2" fmla="*/ 7225 w 10000"/>
            <a:gd name="connsiteY2" fmla="*/ 1 h 10000"/>
            <a:gd name="connsiteX3" fmla="*/ 9497 w 10000"/>
            <a:gd name="connsiteY3" fmla="*/ 0 h 10000"/>
            <a:gd name="connsiteX4" fmla="*/ 9507 w 10000"/>
            <a:gd name="connsiteY4" fmla="*/ 4454 h 10000"/>
            <a:gd name="connsiteX5" fmla="*/ 10000 w 10000"/>
            <a:gd name="connsiteY5" fmla="*/ 4486 h 10000"/>
            <a:gd name="connsiteX6" fmla="*/ 9497 w 10000"/>
            <a:gd name="connsiteY6" fmla="*/ 7553 h 10000"/>
            <a:gd name="connsiteX7" fmla="*/ 9507 w 10000"/>
            <a:gd name="connsiteY7" fmla="*/ 10000 h 10000"/>
            <a:gd name="connsiteX8" fmla="*/ 0 w 10000"/>
            <a:gd name="connsiteY8" fmla="*/ 9967 h 10000"/>
            <a:gd name="connsiteX0" fmla="*/ 3 w 9507"/>
            <a:gd name="connsiteY0" fmla="*/ 2387 h 10000"/>
            <a:gd name="connsiteX1" fmla="*/ 7233 w 9507"/>
            <a:gd name="connsiteY1" fmla="*/ 2365 h 10000"/>
            <a:gd name="connsiteX2" fmla="*/ 7225 w 9507"/>
            <a:gd name="connsiteY2" fmla="*/ 1 h 10000"/>
            <a:gd name="connsiteX3" fmla="*/ 9497 w 9507"/>
            <a:gd name="connsiteY3" fmla="*/ 0 h 10000"/>
            <a:gd name="connsiteX4" fmla="*/ 9507 w 9507"/>
            <a:gd name="connsiteY4" fmla="*/ 4454 h 10000"/>
            <a:gd name="connsiteX5" fmla="*/ 9497 w 9507"/>
            <a:gd name="connsiteY5" fmla="*/ 7553 h 10000"/>
            <a:gd name="connsiteX6" fmla="*/ 9507 w 9507"/>
            <a:gd name="connsiteY6" fmla="*/ 10000 h 10000"/>
            <a:gd name="connsiteX7" fmla="*/ 0 w 9507"/>
            <a:gd name="connsiteY7" fmla="*/ 9967 h 10000"/>
            <a:gd name="connsiteX0" fmla="*/ 3 w 10000"/>
            <a:gd name="connsiteY0" fmla="*/ 2387 h 10000"/>
            <a:gd name="connsiteX1" fmla="*/ 3698 w 10000"/>
            <a:gd name="connsiteY1" fmla="*/ 2387 h 10000"/>
            <a:gd name="connsiteX2" fmla="*/ 7608 w 10000"/>
            <a:gd name="connsiteY2" fmla="*/ 2365 h 10000"/>
            <a:gd name="connsiteX3" fmla="*/ 7600 w 10000"/>
            <a:gd name="connsiteY3" fmla="*/ 1 h 10000"/>
            <a:gd name="connsiteX4" fmla="*/ 9989 w 10000"/>
            <a:gd name="connsiteY4" fmla="*/ 0 h 10000"/>
            <a:gd name="connsiteX5" fmla="*/ 10000 w 10000"/>
            <a:gd name="connsiteY5" fmla="*/ 4454 h 10000"/>
            <a:gd name="connsiteX6" fmla="*/ 9989 w 10000"/>
            <a:gd name="connsiteY6" fmla="*/ 7553 h 10000"/>
            <a:gd name="connsiteX7" fmla="*/ 10000 w 10000"/>
            <a:gd name="connsiteY7" fmla="*/ 10000 h 10000"/>
            <a:gd name="connsiteX8" fmla="*/ 0 w 10000"/>
            <a:gd name="connsiteY8" fmla="*/ 9967 h 10000"/>
            <a:gd name="connsiteX0" fmla="*/ 3 w 10000"/>
            <a:gd name="connsiteY0" fmla="*/ 2387 h 10000"/>
            <a:gd name="connsiteX1" fmla="*/ 3698 w 10000"/>
            <a:gd name="connsiteY1" fmla="*/ 2387 h 10000"/>
            <a:gd name="connsiteX2" fmla="*/ 7608 w 10000"/>
            <a:gd name="connsiteY2" fmla="*/ 2365 h 10000"/>
            <a:gd name="connsiteX3" fmla="*/ 6608 w 10000"/>
            <a:gd name="connsiteY3" fmla="*/ 2372 h 10000"/>
            <a:gd name="connsiteX4" fmla="*/ 9989 w 10000"/>
            <a:gd name="connsiteY4" fmla="*/ 0 h 10000"/>
            <a:gd name="connsiteX5" fmla="*/ 10000 w 10000"/>
            <a:gd name="connsiteY5" fmla="*/ 4454 h 10000"/>
            <a:gd name="connsiteX6" fmla="*/ 9989 w 10000"/>
            <a:gd name="connsiteY6" fmla="*/ 7553 h 10000"/>
            <a:gd name="connsiteX7" fmla="*/ 10000 w 10000"/>
            <a:gd name="connsiteY7" fmla="*/ 10000 h 10000"/>
            <a:gd name="connsiteX8" fmla="*/ 0 w 10000"/>
            <a:gd name="connsiteY8" fmla="*/ 9967 h 10000"/>
            <a:gd name="connsiteX0" fmla="*/ 3 w 10044"/>
            <a:gd name="connsiteY0" fmla="*/ 796 h 8409"/>
            <a:gd name="connsiteX1" fmla="*/ 3698 w 10044"/>
            <a:gd name="connsiteY1" fmla="*/ 796 h 8409"/>
            <a:gd name="connsiteX2" fmla="*/ 7608 w 10044"/>
            <a:gd name="connsiteY2" fmla="*/ 774 h 8409"/>
            <a:gd name="connsiteX3" fmla="*/ 6608 w 10044"/>
            <a:gd name="connsiteY3" fmla="*/ 781 h 8409"/>
            <a:gd name="connsiteX4" fmla="*/ 10040 w 10044"/>
            <a:gd name="connsiteY4" fmla="*/ 823 h 8409"/>
            <a:gd name="connsiteX5" fmla="*/ 10000 w 10044"/>
            <a:gd name="connsiteY5" fmla="*/ 2863 h 8409"/>
            <a:gd name="connsiteX6" fmla="*/ 9989 w 10044"/>
            <a:gd name="connsiteY6" fmla="*/ 5962 h 8409"/>
            <a:gd name="connsiteX7" fmla="*/ 10000 w 10044"/>
            <a:gd name="connsiteY7" fmla="*/ 8409 h 8409"/>
            <a:gd name="connsiteX8" fmla="*/ 0 w 10044"/>
            <a:gd name="connsiteY8" fmla="*/ 8376 h 8409"/>
            <a:gd name="connsiteX0" fmla="*/ 3 w 10000"/>
            <a:gd name="connsiteY0" fmla="*/ 947 h 10000"/>
            <a:gd name="connsiteX1" fmla="*/ 3682 w 10000"/>
            <a:gd name="connsiteY1" fmla="*/ 947 h 10000"/>
            <a:gd name="connsiteX2" fmla="*/ 7575 w 10000"/>
            <a:gd name="connsiteY2" fmla="*/ 920 h 10000"/>
            <a:gd name="connsiteX3" fmla="*/ 6579 w 10000"/>
            <a:gd name="connsiteY3" fmla="*/ 929 h 10000"/>
            <a:gd name="connsiteX4" fmla="*/ 9996 w 10000"/>
            <a:gd name="connsiteY4" fmla="*/ 979 h 10000"/>
            <a:gd name="connsiteX5" fmla="*/ 9956 w 10000"/>
            <a:gd name="connsiteY5" fmla="*/ 3405 h 10000"/>
            <a:gd name="connsiteX6" fmla="*/ 9945 w 10000"/>
            <a:gd name="connsiteY6" fmla="*/ 7090 h 10000"/>
            <a:gd name="connsiteX7" fmla="*/ 9956 w 10000"/>
            <a:gd name="connsiteY7" fmla="*/ 10000 h 10000"/>
            <a:gd name="connsiteX8" fmla="*/ 0 w 10000"/>
            <a:gd name="connsiteY8" fmla="*/ 9961 h 10000"/>
            <a:gd name="connsiteX0" fmla="*/ 3 w 10000"/>
            <a:gd name="connsiteY0" fmla="*/ 8293 h 17346"/>
            <a:gd name="connsiteX1" fmla="*/ 3682 w 10000"/>
            <a:gd name="connsiteY1" fmla="*/ 8293 h 17346"/>
            <a:gd name="connsiteX2" fmla="*/ 6714 w 10000"/>
            <a:gd name="connsiteY2" fmla="*/ 920 h 17346"/>
            <a:gd name="connsiteX3" fmla="*/ 6579 w 10000"/>
            <a:gd name="connsiteY3" fmla="*/ 8275 h 17346"/>
            <a:gd name="connsiteX4" fmla="*/ 9996 w 10000"/>
            <a:gd name="connsiteY4" fmla="*/ 8325 h 17346"/>
            <a:gd name="connsiteX5" fmla="*/ 9956 w 10000"/>
            <a:gd name="connsiteY5" fmla="*/ 10751 h 17346"/>
            <a:gd name="connsiteX6" fmla="*/ 9945 w 10000"/>
            <a:gd name="connsiteY6" fmla="*/ 14436 h 17346"/>
            <a:gd name="connsiteX7" fmla="*/ 9956 w 10000"/>
            <a:gd name="connsiteY7" fmla="*/ 17346 h 17346"/>
            <a:gd name="connsiteX8" fmla="*/ 0 w 10000"/>
            <a:gd name="connsiteY8" fmla="*/ 17307 h 17346"/>
            <a:gd name="connsiteX0" fmla="*/ 3 w 10000"/>
            <a:gd name="connsiteY0" fmla="*/ 8293 h 17346"/>
            <a:gd name="connsiteX1" fmla="*/ 3682 w 10000"/>
            <a:gd name="connsiteY1" fmla="*/ 8293 h 17346"/>
            <a:gd name="connsiteX2" fmla="*/ 6714 w 10000"/>
            <a:gd name="connsiteY2" fmla="*/ 920 h 17346"/>
            <a:gd name="connsiteX3" fmla="*/ 6731 w 10000"/>
            <a:gd name="connsiteY3" fmla="*/ 8275 h 17346"/>
            <a:gd name="connsiteX4" fmla="*/ 9996 w 10000"/>
            <a:gd name="connsiteY4" fmla="*/ 8325 h 17346"/>
            <a:gd name="connsiteX5" fmla="*/ 9956 w 10000"/>
            <a:gd name="connsiteY5" fmla="*/ 10751 h 17346"/>
            <a:gd name="connsiteX6" fmla="*/ 9945 w 10000"/>
            <a:gd name="connsiteY6" fmla="*/ 14436 h 17346"/>
            <a:gd name="connsiteX7" fmla="*/ 9956 w 10000"/>
            <a:gd name="connsiteY7" fmla="*/ 17346 h 17346"/>
            <a:gd name="connsiteX8" fmla="*/ 0 w 10000"/>
            <a:gd name="connsiteY8" fmla="*/ 17307 h 17346"/>
            <a:gd name="connsiteX0" fmla="*/ 3 w 10000"/>
            <a:gd name="connsiteY0" fmla="*/ 8293 h 17346"/>
            <a:gd name="connsiteX1" fmla="*/ 3682 w 10000"/>
            <a:gd name="connsiteY1" fmla="*/ 8293 h 17346"/>
            <a:gd name="connsiteX2" fmla="*/ 5163 w 10000"/>
            <a:gd name="connsiteY2" fmla="*/ 4672 h 17346"/>
            <a:gd name="connsiteX3" fmla="*/ 6714 w 10000"/>
            <a:gd name="connsiteY3" fmla="*/ 920 h 17346"/>
            <a:gd name="connsiteX4" fmla="*/ 6731 w 10000"/>
            <a:gd name="connsiteY4" fmla="*/ 8275 h 17346"/>
            <a:gd name="connsiteX5" fmla="*/ 9996 w 10000"/>
            <a:gd name="connsiteY5" fmla="*/ 8325 h 17346"/>
            <a:gd name="connsiteX6" fmla="*/ 9956 w 10000"/>
            <a:gd name="connsiteY6" fmla="*/ 10751 h 17346"/>
            <a:gd name="connsiteX7" fmla="*/ 9945 w 10000"/>
            <a:gd name="connsiteY7" fmla="*/ 14436 h 17346"/>
            <a:gd name="connsiteX8" fmla="*/ 9956 w 10000"/>
            <a:gd name="connsiteY8" fmla="*/ 17346 h 17346"/>
            <a:gd name="connsiteX9" fmla="*/ 0 w 10000"/>
            <a:gd name="connsiteY9" fmla="*/ 17307 h 17346"/>
            <a:gd name="connsiteX0" fmla="*/ 3 w 10000"/>
            <a:gd name="connsiteY0" fmla="*/ 8293 h 17346"/>
            <a:gd name="connsiteX1" fmla="*/ 3682 w 10000"/>
            <a:gd name="connsiteY1" fmla="*/ 8293 h 17346"/>
            <a:gd name="connsiteX2" fmla="*/ 3681 w 10000"/>
            <a:gd name="connsiteY2" fmla="*/ 973 h 17346"/>
            <a:gd name="connsiteX3" fmla="*/ 6714 w 10000"/>
            <a:gd name="connsiteY3" fmla="*/ 920 h 17346"/>
            <a:gd name="connsiteX4" fmla="*/ 6731 w 10000"/>
            <a:gd name="connsiteY4" fmla="*/ 8275 h 17346"/>
            <a:gd name="connsiteX5" fmla="*/ 9996 w 10000"/>
            <a:gd name="connsiteY5" fmla="*/ 8325 h 17346"/>
            <a:gd name="connsiteX6" fmla="*/ 9956 w 10000"/>
            <a:gd name="connsiteY6" fmla="*/ 10751 h 17346"/>
            <a:gd name="connsiteX7" fmla="*/ 9945 w 10000"/>
            <a:gd name="connsiteY7" fmla="*/ 14436 h 17346"/>
            <a:gd name="connsiteX8" fmla="*/ 9956 w 10000"/>
            <a:gd name="connsiteY8" fmla="*/ 17346 h 17346"/>
            <a:gd name="connsiteX9" fmla="*/ 0 w 10000"/>
            <a:gd name="connsiteY9" fmla="*/ 17307 h 17346"/>
            <a:gd name="connsiteX0" fmla="*/ 6 w 10003"/>
            <a:gd name="connsiteY0" fmla="*/ 12605 h 21658"/>
            <a:gd name="connsiteX1" fmla="*/ 0 w 10003"/>
            <a:gd name="connsiteY1" fmla="*/ 2440 h 21658"/>
            <a:gd name="connsiteX2" fmla="*/ 3684 w 10003"/>
            <a:gd name="connsiteY2" fmla="*/ 5285 h 21658"/>
            <a:gd name="connsiteX3" fmla="*/ 6717 w 10003"/>
            <a:gd name="connsiteY3" fmla="*/ 5232 h 21658"/>
            <a:gd name="connsiteX4" fmla="*/ 6734 w 10003"/>
            <a:gd name="connsiteY4" fmla="*/ 12587 h 21658"/>
            <a:gd name="connsiteX5" fmla="*/ 9999 w 10003"/>
            <a:gd name="connsiteY5" fmla="*/ 12637 h 21658"/>
            <a:gd name="connsiteX6" fmla="*/ 9959 w 10003"/>
            <a:gd name="connsiteY6" fmla="*/ 15063 h 21658"/>
            <a:gd name="connsiteX7" fmla="*/ 9948 w 10003"/>
            <a:gd name="connsiteY7" fmla="*/ 18748 h 21658"/>
            <a:gd name="connsiteX8" fmla="*/ 9959 w 10003"/>
            <a:gd name="connsiteY8" fmla="*/ 21658 h 21658"/>
            <a:gd name="connsiteX9" fmla="*/ 3 w 10003"/>
            <a:gd name="connsiteY9" fmla="*/ 21619 h 21658"/>
            <a:gd name="connsiteX0" fmla="*/ 6 w 10003"/>
            <a:gd name="connsiteY0" fmla="*/ 11652 h 20705"/>
            <a:gd name="connsiteX1" fmla="*/ 0 w 10003"/>
            <a:gd name="connsiteY1" fmla="*/ 1487 h 20705"/>
            <a:gd name="connsiteX2" fmla="*/ 1722 w 10003"/>
            <a:gd name="connsiteY2" fmla="*/ 2728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0165 h 19218"/>
            <a:gd name="connsiteX1" fmla="*/ 0 w 10003"/>
            <a:gd name="connsiteY1" fmla="*/ 0 h 19218"/>
            <a:gd name="connsiteX2" fmla="*/ 3647 w 10003"/>
            <a:gd name="connsiteY2" fmla="*/ 77 h 19218"/>
            <a:gd name="connsiteX3" fmla="*/ 3684 w 10003"/>
            <a:gd name="connsiteY3" fmla="*/ 2845 h 19218"/>
            <a:gd name="connsiteX4" fmla="*/ 6717 w 10003"/>
            <a:gd name="connsiteY4" fmla="*/ 2792 h 19218"/>
            <a:gd name="connsiteX5" fmla="*/ 6734 w 10003"/>
            <a:gd name="connsiteY5" fmla="*/ 10147 h 19218"/>
            <a:gd name="connsiteX6" fmla="*/ 9999 w 10003"/>
            <a:gd name="connsiteY6" fmla="*/ 10197 h 19218"/>
            <a:gd name="connsiteX7" fmla="*/ 9959 w 10003"/>
            <a:gd name="connsiteY7" fmla="*/ 12623 h 19218"/>
            <a:gd name="connsiteX8" fmla="*/ 9948 w 10003"/>
            <a:gd name="connsiteY8" fmla="*/ 16308 h 19218"/>
            <a:gd name="connsiteX9" fmla="*/ 9959 w 10003"/>
            <a:gd name="connsiteY9" fmla="*/ 19218 h 19218"/>
            <a:gd name="connsiteX10" fmla="*/ 3 w 10003"/>
            <a:gd name="connsiteY10" fmla="*/ 19179 h 19218"/>
            <a:gd name="connsiteX0" fmla="*/ 6 w 10003"/>
            <a:gd name="connsiteY0" fmla="*/ 10166 h 19219"/>
            <a:gd name="connsiteX1" fmla="*/ 0 w 10003"/>
            <a:gd name="connsiteY1" fmla="*/ 1 h 19219"/>
            <a:gd name="connsiteX2" fmla="*/ 3660 w 10003"/>
            <a:gd name="connsiteY2" fmla="*/ 0 h 19219"/>
            <a:gd name="connsiteX3" fmla="*/ 3684 w 10003"/>
            <a:gd name="connsiteY3" fmla="*/ 2846 h 19219"/>
            <a:gd name="connsiteX4" fmla="*/ 6717 w 10003"/>
            <a:gd name="connsiteY4" fmla="*/ 2793 h 19219"/>
            <a:gd name="connsiteX5" fmla="*/ 6734 w 10003"/>
            <a:gd name="connsiteY5" fmla="*/ 10148 h 19219"/>
            <a:gd name="connsiteX6" fmla="*/ 9999 w 10003"/>
            <a:gd name="connsiteY6" fmla="*/ 10198 h 19219"/>
            <a:gd name="connsiteX7" fmla="*/ 9959 w 10003"/>
            <a:gd name="connsiteY7" fmla="*/ 12624 h 19219"/>
            <a:gd name="connsiteX8" fmla="*/ 9948 w 10003"/>
            <a:gd name="connsiteY8" fmla="*/ 16309 h 19219"/>
            <a:gd name="connsiteX9" fmla="*/ 9959 w 10003"/>
            <a:gd name="connsiteY9" fmla="*/ 19219 h 19219"/>
            <a:gd name="connsiteX10" fmla="*/ 3 w 10003"/>
            <a:gd name="connsiteY10" fmla="*/ 19180 h 192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003" h="19219">
              <a:moveTo>
                <a:pt x="6" y="10166"/>
              </a:moveTo>
              <a:cubicBezTo>
                <a:pt x="4" y="6778"/>
                <a:pt x="2" y="3389"/>
                <a:pt x="0" y="1"/>
              </a:cubicBezTo>
              <a:lnTo>
                <a:pt x="3660" y="0"/>
              </a:lnTo>
              <a:cubicBezTo>
                <a:pt x="3679" y="1121"/>
                <a:pt x="3687" y="1863"/>
                <a:pt x="3684" y="2846"/>
              </a:cubicBezTo>
              <a:lnTo>
                <a:pt x="6717" y="2793"/>
              </a:lnTo>
              <a:cubicBezTo>
                <a:pt x="6721" y="1873"/>
                <a:pt x="6728" y="11068"/>
                <a:pt x="6734" y="10148"/>
              </a:cubicBezTo>
              <a:lnTo>
                <a:pt x="9999" y="10198"/>
              </a:lnTo>
              <a:cubicBezTo>
                <a:pt x="10003" y="11964"/>
                <a:pt x="9956" y="10858"/>
                <a:pt x="9959" y="12624"/>
              </a:cubicBezTo>
              <a:cubicBezTo>
                <a:pt x="9956" y="13852"/>
                <a:pt x="9952" y="15081"/>
                <a:pt x="9948" y="16309"/>
              </a:cubicBezTo>
              <a:cubicBezTo>
                <a:pt x="9952" y="17279"/>
                <a:pt x="9956" y="18249"/>
                <a:pt x="9959" y="19219"/>
              </a:cubicBezTo>
              <a:lnTo>
                <a:pt x="3" y="19180"/>
              </a:lnTo>
            </a:path>
          </a:pathLst>
        </a:custGeom>
        <a:solidFill>
          <a:srgbClr val="FFCCFF"/>
        </a:solidFill>
        <a:ln w="9525">
          <a:noFill/>
          <a:round/>
          <a:headEnd/>
          <a:tailEnd/>
        </a:ln>
      </xdr:spPr>
    </xdr:sp>
    <xdr:clientData/>
  </xdr:twoCellAnchor>
  <xdr:twoCellAnchor>
    <xdr:from>
      <xdr:col>13</xdr:col>
      <xdr:colOff>165100</xdr:colOff>
      <xdr:row>83</xdr:row>
      <xdr:rowOff>70427</xdr:rowOff>
    </xdr:from>
    <xdr:to>
      <xdr:col>27</xdr:col>
      <xdr:colOff>12700</xdr:colOff>
      <xdr:row>89</xdr:row>
      <xdr:rowOff>45028</xdr:rowOff>
    </xdr:to>
    <xdr:sp macro="" textlink="">
      <xdr:nvSpPr>
        <xdr:cNvPr id="6" name="Rectangle 966">
          <a:extLst>
            <a:ext uri="{FF2B5EF4-FFF2-40B4-BE49-F238E27FC236}">
              <a16:creationId xmlns:a16="http://schemas.microsoft.com/office/drawing/2014/main" xmlns="" id="{2CD7BEB5-0EEE-443C-BB81-F2A3A0B53855}"/>
            </a:ext>
          </a:extLst>
        </xdr:cNvPr>
        <xdr:cNvSpPr>
          <a:spLocks noChangeArrowheads="1"/>
        </xdr:cNvSpPr>
      </xdr:nvSpPr>
      <xdr:spPr bwMode="auto">
        <a:xfrm>
          <a:off x="2566555" y="15529791"/>
          <a:ext cx="2433781" cy="1152237"/>
        </a:xfrm>
        <a:prstGeom prst="rect">
          <a:avLst/>
        </a:prstGeom>
        <a:solidFill>
          <a:srgbClr val="CCFFCC"/>
        </a:solidFill>
        <a:ln w="3175" algn="ctr">
          <a:noFill/>
          <a:miter lim="800000"/>
          <a:headEnd/>
          <a:tailEnd/>
        </a:ln>
        <a:effectLst/>
      </xdr:spPr>
    </xdr:sp>
    <xdr:clientData/>
  </xdr:twoCellAnchor>
  <xdr:twoCellAnchor>
    <xdr:from>
      <xdr:col>1</xdr:col>
      <xdr:colOff>85725</xdr:colOff>
      <xdr:row>49</xdr:row>
      <xdr:rowOff>25978</xdr:rowOff>
    </xdr:from>
    <xdr:to>
      <xdr:col>29</xdr:col>
      <xdr:colOff>9525</xdr:colOff>
      <xdr:row>89</xdr:row>
      <xdr:rowOff>35503</xdr:rowOff>
    </xdr:to>
    <xdr:sp macro="" textlink="">
      <xdr:nvSpPr>
        <xdr:cNvPr id="7" name="Freeform 910">
          <a:extLst>
            <a:ext uri="{FF2B5EF4-FFF2-40B4-BE49-F238E27FC236}">
              <a16:creationId xmlns:a16="http://schemas.microsoft.com/office/drawing/2014/main" xmlns="" id="{B943F5BB-62F2-41BF-A390-7A8098F22C9C}"/>
            </a:ext>
          </a:extLst>
        </xdr:cNvPr>
        <xdr:cNvSpPr>
          <a:spLocks/>
        </xdr:cNvSpPr>
      </xdr:nvSpPr>
      <xdr:spPr bwMode="auto">
        <a:xfrm>
          <a:off x="270452" y="8812069"/>
          <a:ext cx="5096164" cy="7860434"/>
        </a:xfrm>
        <a:custGeom>
          <a:avLst/>
          <a:gdLst/>
          <a:ahLst/>
          <a:cxnLst>
            <a:cxn ang="0">
              <a:pos x="1" y="164"/>
            </a:cxn>
            <a:cxn ang="0">
              <a:pos x="0" y="0"/>
            </a:cxn>
            <a:cxn ang="0">
              <a:pos x="580" y="1"/>
            </a:cxn>
            <a:cxn ang="0">
              <a:pos x="579" y="798"/>
            </a:cxn>
            <a:cxn ang="0">
              <a:pos x="537" y="801"/>
            </a:cxn>
            <a:cxn ang="0">
              <a:pos x="538" y="685"/>
            </a:cxn>
            <a:cxn ang="0">
              <a:pos x="267" y="685"/>
            </a:cxn>
            <a:cxn ang="0">
              <a:pos x="263" y="801"/>
            </a:cxn>
            <a:cxn ang="0">
              <a:pos x="181" y="800"/>
            </a:cxn>
            <a:cxn ang="0">
              <a:pos x="182" y="627"/>
            </a:cxn>
            <a:cxn ang="0">
              <a:pos x="5" y="627"/>
            </a:cxn>
            <a:cxn ang="0">
              <a:pos x="5" y="576"/>
            </a:cxn>
            <a:cxn ang="0">
              <a:pos x="159" y="454"/>
            </a:cxn>
            <a:cxn ang="0">
              <a:pos x="416" y="455"/>
            </a:cxn>
            <a:cxn ang="0">
              <a:pos x="417" y="266"/>
            </a:cxn>
            <a:cxn ang="0">
              <a:pos x="161" y="267"/>
            </a:cxn>
            <a:cxn ang="0">
              <a:pos x="1" y="164"/>
            </a:cxn>
          </a:cxnLst>
          <a:rect l="0" t="0" r="r" b="b"/>
          <a:pathLst>
            <a:path w="580" h="801">
              <a:moveTo>
                <a:pt x="1" y="164"/>
              </a:moveTo>
              <a:lnTo>
                <a:pt x="0" y="0"/>
              </a:lnTo>
              <a:lnTo>
                <a:pt x="580" y="1"/>
              </a:lnTo>
              <a:lnTo>
                <a:pt x="579" y="798"/>
              </a:lnTo>
              <a:lnTo>
                <a:pt x="537" y="801"/>
              </a:lnTo>
              <a:lnTo>
                <a:pt x="538" y="685"/>
              </a:lnTo>
              <a:lnTo>
                <a:pt x="267" y="685"/>
              </a:lnTo>
              <a:lnTo>
                <a:pt x="263" y="801"/>
              </a:lnTo>
              <a:lnTo>
                <a:pt x="181" y="800"/>
              </a:lnTo>
              <a:lnTo>
                <a:pt x="182" y="627"/>
              </a:lnTo>
              <a:lnTo>
                <a:pt x="5" y="627"/>
              </a:lnTo>
              <a:lnTo>
                <a:pt x="5" y="576"/>
              </a:lnTo>
              <a:lnTo>
                <a:pt x="159" y="454"/>
              </a:lnTo>
              <a:lnTo>
                <a:pt x="416" y="455"/>
              </a:lnTo>
              <a:lnTo>
                <a:pt x="417" y="266"/>
              </a:lnTo>
              <a:lnTo>
                <a:pt x="161" y="267"/>
              </a:lnTo>
              <a:lnTo>
                <a:pt x="1" y="164"/>
              </a:lnTo>
              <a:close/>
            </a:path>
          </a:pathLst>
        </a:custGeom>
        <a:solidFill>
          <a:srgbClr val="CCFFFF"/>
        </a:solidFill>
        <a:ln w="3175" cap="flat" cmpd="sng">
          <a:noFill/>
          <a:prstDash val="solid"/>
          <a:round/>
          <a:headEnd/>
          <a:tailEnd/>
        </a:ln>
        <a:effectLst/>
      </xdr:spPr>
    </xdr:sp>
    <xdr:clientData/>
  </xdr:twoCellAnchor>
  <xdr:twoCellAnchor>
    <xdr:from>
      <xdr:col>1</xdr:col>
      <xdr:colOff>161925</xdr:colOff>
      <xdr:row>57</xdr:row>
      <xdr:rowOff>136525</xdr:rowOff>
    </xdr:from>
    <xdr:to>
      <xdr:col>21</xdr:col>
      <xdr:colOff>19050</xdr:colOff>
      <xdr:row>77</xdr:row>
      <xdr:rowOff>102178</xdr:rowOff>
    </xdr:to>
    <xdr:sp macro="" textlink="">
      <xdr:nvSpPr>
        <xdr:cNvPr id="8" name="Freeform 640">
          <a:extLst>
            <a:ext uri="{FF2B5EF4-FFF2-40B4-BE49-F238E27FC236}">
              <a16:creationId xmlns:a16="http://schemas.microsoft.com/office/drawing/2014/main" xmlns="" id="{5EC0C738-CF67-41AC-AB2F-66FCDCC24586}"/>
            </a:ext>
          </a:extLst>
        </xdr:cNvPr>
        <xdr:cNvSpPr>
          <a:spLocks/>
        </xdr:cNvSpPr>
      </xdr:nvSpPr>
      <xdr:spPr bwMode="auto">
        <a:xfrm>
          <a:off x="346652" y="10492798"/>
          <a:ext cx="3551671" cy="3891107"/>
        </a:xfrm>
        <a:custGeom>
          <a:avLst/>
          <a:gdLst/>
          <a:ahLst/>
          <a:cxnLst>
            <a:cxn ang="0">
              <a:pos x="1" y="0"/>
            </a:cxn>
            <a:cxn ang="0">
              <a:pos x="152" y="99"/>
            </a:cxn>
            <a:cxn ang="0">
              <a:pos x="405" y="99"/>
            </a:cxn>
            <a:cxn ang="0">
              <a:pos x="405" y="279"/>
            </a:cxn>
            <a:cxn ang="0">
              <a:pos x="151" y="279"/>
            </a:cxn>
            <a:cxn ang="0">
              <a:pos x="0" y="397"/>
            </a:cxn>
            <a:cxn ang="0">
              <a:pos x="1" y="0"/>
            </a:cxn>
          </a:cxnLst>
          <a:rect l="0" t="0" r="r" b="b"/>
          <a:pathLst>
            <a:path w="405" h="397">
              <a:moveTo>
                <a:pt x="1" y="0"/>
              </a:moveTo>
              <a:lnTo>
                <a:pt x="152" y="99"/>
              </a:lnTo>
              <a:lnTo>
                <a:pt x="405" y="99"/>
              </a:lnTo>
              <a:lnTo>
                <a:pt x="405" y="279"/>
              </a:lnTo>
              <a:lnTo>
                <a:pt x="151" y="279"/>
              </a:lnTo>
              <a:lnTo>
                <a:pt x="0" y="397"/>
              </a:lnTo>
              <a:lnTo>
                <a:pt x="1" y="0"/>
              </a:lnTo>
              <a:close/>
            </a:path>
          </a:pathLst>
        </a:custGeom>
        <a:solidFill>
          <a:srgbClr val="DDDDDD"/>
        </a:solidFill>
        <a:ln w="9525">
          <a:noFill/>
          <a:round/>
          <a:headEnd/>
          <a:tailEnd/>
        </a:ln>
      </xdr:spPr>
    </xdr:sp>
    <xdr:clientData/>
  </xdr:twoCellAnchor>
  <xdr:twoCellAnchor>
    <xdr:from>
      <xdr:col>8</xdr:col>
      <xdr:colOff>0</xdr:colOff>
      <xdr:row>7</xdr:row>
      <xdr:rowOff>108816</xdr:rowOff>
    </xdr:from>
    <xdr:to>
      <xdr:col>8</xdr:col>
      <xdr:colOff>104775</xdr:colOff>
      <xdr:row>30</xdr:row>
      <xdr:rowOff>127000</xdr:rowOff>
    </xdr:to>
    <xdr:sp macro="" textlink="">
      <xdr:nvSpPr>
        <xdr:cNvPr id="9" name="Rectangle 82">
          <a:extLst>
            <a:ext uri="{FF2B5EF4-FFF2-40B4-BE49-F238E27FC236}">
              <a16:creationId xmlns:a16="http://schemas.microsoft.com/office/drawing/2014/main" xmlns="" id="{B07A5466-1CF5-44A1-BA12-AF311C3EDC8E}"/>
            </a:ext>
          </a:extLst>
        </xdr:cNvPr>
        <xdr:cNvSpPr>
          <a:spLocks noChangeArrowheads="1"/>
        </xdr:cNvSpPr>
      </xdr:nvSpPr>
      <xdr:spPr bwMode="auto">
        <a:xfrm>
          <a:off x="1477818" y="1344180"/>
          <a:ext cx="104775" cy="3839729"/>
        </a:xfrm>
        <a:prstGeom prst="rect">
          <a:avLst/>
        </a:prstGeom>
        <a:solidFill>
          <a:srgbClr val="FFFFFF"/>
        </a:solidFill>
        <a:ln w="9525">
          <a:solidFill>
            <a:srgbClr val="000000"/>
          </a:solidFill>
          <a:miter lim="800000"/>
          <a:headEnd/>
          <a:tailEnd/>
        </a:ln>
      </xdr:spPr>
    </xdr:sp>
    <xdr:clientData/>
  </xdr:twoCellAnchor>
  <xdr:twoCellAnchor>
    <xdr:from>
      <xdr:col>29</xdr:col>
      <xdr:colOff>0</xdr:colOff>
      <xdr:row>8</xdr:row>
      <xdr:rowOff>57728</xdr:rowOff>
    </xdr:from>
    <xdr:to>
      <xdr:col>29</xdr:col>
      <xdr:colOff>104775</xdr:colOff>
      <xdr:row>30</xdr:row>
      <xdr:rowOff>102178</xdr:rowOff>
    </xdr:to>
    <xdr:sp macro="" textlink="">
      <xdr:nvSpPr>
        <xdr:cNvPr id="10" name="Rectangle 87">
          <a:extLst>
            <a:ext uri="{FF2B5EF4-FFF2-40B4-BE49-F238E27FC236}">
              <a16:creationId xmlns:a16="http://schemas.microsoft.com/office/drawing/2014/main" xmlns="" id="{240AA4B5-FCAE-4D56-B446-3702AC44890A}"/>
            </a:ext>
          </a:extLst>
        </xdr:cNvPr>
        <xdr:cNvSpPr>
          <a:spLocks noChangeArrowheads="1"/>
        </xdr:cNvSpPr>
      </xdr:nvSpPr>
      <xdr:spPr bwMode="auto">
        <a:xfrm>
          <a:off x="5357091" y="1454728"/>
          <a:ext cx="104775" cy="3704359"/>
        </a:xfrm>
        <a:prstGeom prst="rect">
          <a:avLst/>
        </a:prstGeom>
        <a:solidFill>
          <a:srgbClr val="FFFFFF"/>
        </a:solidFill>
        <a:ln w="9525">
          <a:solidFill>
            <a:srgbClr val="000000"/>
          </a:solidFill>
          <a:miter lim="800000"/>
          <a:headEnd/>
          <a:tailEnd/>
        </a:ln>
      </xdr:spPr>
    </xdr:sp>
    <xdr:clientData/>
  </xdr:twoCellAnchor>
  <xdr:twoCellAnchor>
    <xdr:from>
      <xdr:col>57</xdr:col>
      <xdr:colOff>0</xdr:colOff>
      <xdr:row>8</xdr:row>
      <xdr:rowOff>57728</xdr:rowOff>
    </xdr:from>
    <xdr:to>
      <xdr:col>61</xdr:col>
      <xdr:colOff>38100</xdr:colOff>
      <xdr:row>25</xdr:row>
      <xdr:rowOff>57728</xdr:rowOff>
    </xdr:to>
    <xdr:sp macro="" textlink="">
      <xdr:nvSpPr>
        <xdr:cNvPr id="11" name="Rectangle 88">
          <a:extLst>
            <a:ext uri="{FF2B5EF4-FFF2-40B4-BE49-F238E27FC236}">
              <a16:creationId xmlns:a16="http://schemas.microsoft.com/office/drawing/2014/main" xmlns="" id="{C7E6D046-8C8E-4FC9-B8A2-80C03BF91C81}"/>
            </a:ext>
          </a:extLst>
        </xdr:cNvPr>
        <xdr:cNvSpPr>
          <a:spLocks noChangeArrowheads="1"/>
        </xdr:cNvSpPr>
      </xdr:nvSpPr>
      <xdr:spPr bwMode="auto">
        <a:xfrm>
          <a:off x="10529455" y="1454728"/>
          <a:ext cx="777009" cy="2747818"/>
        </a:xfrm>
        <a:prstGeom prst="rect">
          <a:avLst/>
        </a:prstGeom>
        <a:solidFill>
          <a:srgbClr val="FFFFFF"/>
        </a:solidFill>
        <a:ln w="9525">
          <a:solidFill>
            <a:srgbClr val="000000"/>
          </a:solidFill>
          <a:miter lim="800000"/>
          <a:headEnd/>
          <a:tailEnd/>
        </a:ln>
      </xdr:spPr>
    </xdr:sp>
    <xdr:clientData/>
  </xdr:twoCellAnchor>
  <xdr:twoCellAnchor>
    <xdr:from>
      <xdr:col>57</xdr:col>
      <xdr:colOff>0</xdr:colOff>
      <xdr:row>25</xdr:row>
      <xdr:rowOff>57728</xdr:rowOff>
    </xdr:from>
    <xdr:to>
      <xdr:col>57</xdr:col>
      <xdr:colOff>104775</xdr:colOff>
      <xdr:row>39</xdr:row>
      <xdr:rowOff>92652</xdr:rowOff>
    </xdr:to>
    <xdr:sp macro="" textlink="">
      <xdr:nvSpPr>
        <xdr:cNvPr id="12" name="Rectangle 89">
          <a:extLst>
            <a:ext uri="{FF2B5EF4-FFF2-40B4-BE49-F238E27FC236}">
              <a16:creationId xmlns:a16="http://schemas.microsoft.com/office/drawing/2014/main" xmlns="" id="{7291017F-C724-4EDF-97D0-7368B8D87C08}"/>
            </a:ext>
          </a:extLst>
        </xdr:cNvPr>
        <xdr:cNvSpPr>
          <a:spLocks noChangeArrowheads="1"/>
        </xdr:cNvSpPr>
      </xdr:nvSpPr>
      <xdr:spPr bwMode="auto">
        <a:xfrm>
          <a:off x="10529455" y="4202546"/>
          <a:ext cx="104775" cy="2713470"/>
        </a:xfrm>
        <a:prstGeom prst="rect">
          <a:avLst/>
        </a:prstGeom>
        <a:solidFill>
          <a:srgbClr val="FFFFFF"/>
        </a:solidFill>
        <a:ln w="9525">
          <a:solidFill>
            <a:srgbClr val="000000"/>
          </a:solidFill>
          <a:miter lim="800000"/>
          <a:headEnd/>
          <a:tailEnd/>
        </a:ln>
      </xdr:spPr>
    </xdr:sp>
    <xdr:clientData/>
  </xdr:twoCellAnchor>
  <xdr:twoCellAnchor>
    <xdr:from>
      <xdr:col>57</xdr:col>
      <xdr:colOff>0</xdr:colOff>
      <xdr:row>17</xdr:row>
      <xdr:rowOff>157885</xdr:rowOff>
    </xdr:from>
    <xdr:to>
      <xdr:col>61</xdr:col>
      <xdr:colOff>28575</xdr:colOff>
      <xdr:row>17</xdr:row>
      <xdr:rowOff>157885</xdr:rowOff>
    </xdr:to>
    <xdr:sp macro="" textlink="">
      <xdr:nvSpPr>
        <xdr:cNvPr id="13" name="Line 90">
          <a:extLst>
            <a:ext uri="{FF2B5EF4-FFF2-40B4-BE49-F238E27FC236}">
              <a16:creationId xmlns:a16="http://schemas.microsoft.com/office/drawing/2014/main" xmlns="" id="{F5710BB4-6AF3-4905-8E7D-FAF3C2112585}"/>
            </a:ext>
          </a:extLst>
        </xdr:cNvPr>
        <xdr:cNvSpPr>
          <a:spLocks noChangeShapeType="1"/>
        </xdr:cNvSpPr>
      </xdr:nvSpPr>
      <xdr:spPr bwMode="auto">
        <a:xfrm>
          <a:off x="10529455" y="3009612"/>
          <a:ext cx="767484" cy="0"/>
        </a:xfrm>
        <a:prstGeom prst="line">
          <a:avLst/>
        </a:prstGeom>
        <a:noFill/>
        <a:ln w="9525">
          <a:solidFill>
            <a:srgbClr val="000000"/>
          </a:solidFill>
          <a:round/>
          <a:headEnd/>
          <a:tailEnd/>
        </a:ln>
      </xdr:spPr>
    </xdr:sp>
    <xdr:clientData/>
  </xdr:twoCellAnchor>
  <xdr:twoCellAnchor>
    <xdr:from>
      <xdr:col>8</xdr:col>
      <xdr:colOff>104775</xdr:colOff>
      <xdr:row>7</xdr:row>
      <xdr:rowOff>108816</xdr:rowOff>
    </xdr:from>
    <xdr:to>
      <xdr:col>14</xdr:col>
      <xdr:colOff>184150</xdr:colOff>
      <xdr:row>8</xdr:row>
      <xdr:rowOff>57728</xdr:rowOff>
    </xdr:to>
    <xdr:sp macro="" textlink="">
      <xdr:nvSpPr>
        <xdr:cNvPr id="14" name="Rectangle 92">
          <a:extLst>
            <a:ext uri="{FF2B5EF4-FFF2-40B4-BE49-F238E27FC236}">
              <a16:creationId xmlns:a16="http://schemas.microsoft.com/office/drawing/2014/main" xmlns="" id="{6C22E63F-3EA5-4BF9-9E21-60783FD4427C}"/>
            </a:ext>
          </a:extLst>
        </xdr:cNvPr>
        <xdr:cNvSpPr>
          <a:spLocks noChangeArrowheads="1"/>
        </xdr:cNvSpPr>
      </xdr:nvSpPr>
      <xdr:spPr bwMode="auto">
        <a:xfrm>
          <a:off x="1582593" y="1344180"/>
          <a:ext cx="1187739" cy="110548"/>
        </a:xfrm>
        <a:prstGeom prst="rect">
          <a:avLst/>
        </a:prstGeom>
        <a:solidFill>
          <a:srgbClr val="FFFFFF"/>
        </a:solidFill>
        <a:ln w="9525">
          <a:solidFill>
            <a:srgbClr val="000000"/>
          </a:solidFill>
          <a:miter lim="800000"/>
          <a:headEnd/>
          <a:tailEnd/>
        </a:ln>
      </xdr:spPr>
    </xdr:sp>
    <xdr:clientData/>
  </xdr:twoCellAnchor>
  <xdr:twoCellAnchor>
    <xdr:from>
      <xdr:col>14</xdr:col>
      <xdr:colOff>184150</xdr:colOff>
      <xdr:row>7</xdr:row>
      <xdr:rowOff>108816</xdr:rowOff>
    </xdr:from>
    <xdr:to>
      <xdr:col>20</xdr:col>
      <xdr:colOff>76200</xdr:colOff>
      <xdr:row>8</xdr:row>
      <xdr:rowOff>57728</xdr:rowOff>
    </xdr:to>
    <xdr:sp macro="" textlink="">
      <xdr:nvSpPr>
        <xdr:cNvPr id="15" name="Rectangle 94">
          <a:extLst>
            <a:ext uri="{FF2B5EF4-FFF2-40B4-BE49-F238E27FC236}">
              <a16:creationId xmlns:a16="http://schemas.microsoft.com/office/drawing/2014/main" xmlns="" id="{C0E8A109-D147-4F03-AA12-C45327B68C87}"/>
            </a:ext>
          </a:extLst>
        </xdr:cNvPr>
        <xdr:cNvSpPr>
          <a:spLocks noChangeArrowheads="1"/>
        </xdr:cNvSpPr>
      </xdr:nvSpPr>
      <xdr:spPr bwMode="auto">
        <a:xfrm>
          <a:off x="2770332" y="1344180"/>
          <a:ext cx="1000413" cy="110548"/>
        </a:xfrm>
        <a:prstGeom prst="rect">
          <a:avLst/>
        </a:prstGeom>
        <a:solidFill>
          <a:srgbClr val="FFFFFF"/>
        </a:solidFill>
        <a:ln w="9525">
          <a:solidFill>
            <a:srgbClr val="000000"/>
          </a:solidFill>
          <a:miter lim="800000"/>
          <a:headEnd/>
          <a:tailEnd/>
        </a:ln>
      </xdr:spPr>
    </xdr:sp>
    <xdr:clientData/>
  </xdr:twoCellAnchor>
  <xdr:twoCellAnchor>
    <xdr:from>
      <xdr:col>26</xdr:col>
      <xdr:colOff>161925</xdr:colOff>
      <xdr:row>7</xdr:row>
      <xdr:rowOff>108816</xdr:rowOff>
    </xdr:from>
    <xdr:to>
      <xdr:col>78</xdr:col>
      <xdr:colOff>107525</xdr:colOff>
      <xdr:row>8</xdr:row>
      <xdr:rowOff>57728</xdr:rowOff>
    </xdr:to>
    <xdr:sp macro="" textlink="">
      <xdr:nvSpPr>
        <xdr:cNvPr id="16" name="Rectangle 95">
          <a:extLst>
            <a:ext uri="{FF2B5EF4-FFF2-40B4-BE49-F238E27FC236}">
              <a16:creationId xmlns:a16="http://schemas.microsoft.com/office/drawing/2014/main" xmlns="" id="{72770099-504D-4C05-B30F-5928751D2F2A}"/>
            </a:ext>
          </a:extLst>
        </xdr:cNvPr>
        <xdr:cNvSpPr>
          <a:spLocks noChangeArrowheads="1"/>
        </xdr:cNvSpPr>
      </xdr:nvSpPr>
      <xdr:spPr bwMode="auto">
        <a:xfrm>
          <a:off x="4964834" y="1344180"/>
          <a:ext cx="9551418" cy="110548"/>
        </a:xfrm>
        <a:prstGeom prst="rect">
          <a:avLst/>
        </a:prstGeom>
        <a:solidFill>
          <a:srgbClr val="FFFFFF"/>
        </a:solidFill>
        <a:ln w="9525">
          <a:solidFill>
            <a:srgbClr val="000000"/>
          </a:solidFill>
          <a:miter lim="800000"/>
          <a:headEnd/>
          <a:tailEnd/>
        </a:ln>
      </xdr:spPr>
    </xdr:sp>
    <xdr:clientData/>
  </xdr:twoCellAnchor>
  <xdr:twoCellAnchor>
    <xdr:from>
      <xdr:col>20</xdr:col>
      <xdr:colOff>76200</xdr:colOff>
      <xdr:row>7</xdr:row>
      <xdr:rowOff>108816</xdr:rowOff>
    </xdr:from>
    <xdr:to>
      <xdr:col>26</xdr:col>
      <xdr:colOff>161925</xdr:colOff>
      <xdr:row>8</xdr:row>
      <xdr:rowOff>57728</xdr:rowOff>
    </xdr:to>
    <xdr:sp macro="" textlink="">
      <xdr:nvSpPr>
        <xdr:cNvPr id="17" name="Rectangle 96">
          <a:extLst>
            <a:ext uri="{FF2B5EF4-FFF2-40B4-BE49-F238E27FC236}">
              <a16:creationId xmlns:a16="http://schemas.microsoft.com/office/drawing/2014/main" xmlns="" id="{4F1EABE3-3CF3-4043-8B34-E069FCE2238D}"/>
            </a:ext>
          </a:extLst>
        </xdr:cNvPr>
        <xdr:cNvSpPr>
          <a:spLocks noChangeArrowheads="1"/>
        </xdr:cNvSpPr>
      </xdr:nvSpPr>
      <xdr:spPr bwMode="auto">
        <a:xfrm>
          <a:off x="3770745" y="1344180"/>
          <a:ext cx="1194089" cy="110548"/>
        </a:xfrm>
        <a:prstGeom prst="rect">
          <a:avLst/>
        </a:prstGeom>
        <a:solidFill>
          <a:srgbClr val="FFFFFF"/>
        </a:solidFill>
        <a:ln w="9525">
          <a:solidFill>
            <a:srgbClr val="000000"/>
          </a:solidFill>
          <a:miter lim="800000"/>
          <a:headEnd/>
          <a:tailEnd/>
        </a:ln>
      </xdr:spPr>
    </xdr:sp>
    <xdr:clientData/>
  </xdr:twoCellAnchor>
  <xdr:twoCellAnchor>
    <xdr:from>
      <xdr:col>11</xdr:col>
      <xdr:colOff>114300</xdr:colOff>
      <xdr:row>7</xdr:row>
      <xdr:rowOff>70716</xdr:rowOff>
    </xdr:from>
    <xdr:to>
      <xdr:col>11</xdr:col>
      <xdr:colOff>114300</xdr:colOff>
      <xdr:row>8</xdr:row>
      <xdr:rowOff>95828</xdr:rowOff>
    </xdr:to>
    <xdr:sp macro="" textlink="">
      <xdr:nvSpPr>
        <xdr:cNvPr id="18" name="Line 98">
          <a:extLst>
            <a:ext uri="{FF2B5EF4-FFF2-40B4-BE49-F238E27FC236}">
              <a16:creationId xmlns:a16="http://schemas.microsoft.com/office/drawing/2014/main" xmlns="" id="{61203B67-A94A-4AAC-A29E-E07997763AF5}"/>
            </a:ext>
          </a:extLst>
        </xdr:cNvPr>
        <xdr:cNvSpPr>
          <a:spLocks noChangeShapeType="1"/>
        </xdr:cNvSpPr>
      </xdr:nvSpPr>
      <xdr:spPr bwMode="auto">
        <a:xfrm>
          <a:off x="2146300" y="1306080"/>
          <a:ext cx="0" cy="186748"/>
        </a:xfrm>
        <a:prstGeom prst="line">
          <a:avLst/>
        </a:prstGeom>
        <a:noFill/>
        <a:ln w="9525">
          <a:solidFill>
            <a:srgbClr val="000000"/>
          </a:solidFill>
          <a:round/>
          <a:headEnd/>
          <a:tailEnd/>
        </a:ln>
      </xdr:spPr>
    </xdr:sp>
    <xdr:clientData/>
  </xdr:twoCellAnchor>
  <xdr:twoCellAnchor>
    <xdr:from>
      <xdr:col>23</xdr:col>
      <xdr:colOff>104775</xdr:colOff>
      <xdr:row>7</xdr:row>
      <xdr:rowOff>70716</xdr:rowOff>
    </xdr:from>
    <xdr:to>
      <xdr:col>23</xdr:col>
      <xdr:colOff>104775</xdr:colOff>
      <xdr:row>8</xdr:row>
      <xdr:rowOff>95828</xdr:rowOff>
    </xdr:to>
    <xdr:sp macro="" textlink="">
      <xdr:nvSpPr>
        <xdr:cNvPr id="19" name="Line 99">
          <a:extLst>
            <a:ext uri="{FF2B5EF4-FFF2-40B4-BE49-F238E27FC236}">
              <a16:creationId xmlns:a16="http://schemas.microsoft.com/office/drawing/2014/main" xmlns="" id="{6F23CB4C-470C-4315-AB9A-4768E81A6D54}"/>
            </a:ext>
          </a:extLst>
        </xdr:cNvPr>
        <xdr:cNvSpPr>
          <a:spLocks noChangeShapeType="1"/>
        </xdr:cNvSpPr>
      </xdr:nvSpPr>
      <xdr:spPr bwMode="auto">
        <a:xfrm>
          <a:off x="4353502" y="1306080"/>
          <a:ext cx="0" cy="186748"/>
        </a:xfrm>
        <a:prstGeom prst="line">
          <a:avLst/>
        </a:prstGeom>
        <a:noFill/>
        <a:ln w="9525">
          <a:solidFill>
            <a:srgbClr val="000000"/>
          </a:solidFill>
          <a:round/>
          <a:headEnd/>
          <a:tailEnd/>
        </a:ln>
      </xdr:spPr>
    </xdr:sp>
    <xdr:clientData/>
  </xdr:twoCellAnchor>
  <xdr:twoCellAnchor>
    <xdr:from>
      <xdr:col>61</xdr:col>
      <xdr:colOff>38100</xdr:colOff>
      <xdr:row>8</xdr:row>
      <xdr:rowOff>57728</xdr:rowOff>
    </xdr:from>
    <xdr:to>
      <xdr:col>78</xdr:col>
      <xdr:colOff>114300</xdr:colOff>
      <xdr:row>17</xdr:row>
      <xdr:rowOff>157885</xdr:rowOff>
    </xdr:to>
    <xdr:sp macro="" textlink="">
      <xdr:nvSpPr>
        <xdr:cNvPr id="20" name="Rectangle 100">
          <a:extLst>
            <a:ext uri="{FF2B5EF4-FFF2-40B4-BE49-F238E27FC236}">
              <a16:creationId xmlns:a16="http://schemas.microsoft.com/office/drawing/2014/main" xmlns="" id="{16C30C90-8D58-4BC0-83CC-2F4EE12C4048}"/>
            </a:ext>
          </a:extLst>
        </xdr:cNvPr>
        <xdr:cNvSpPr>
          <a:spLocks noChangeArrowheads="1"/>
        </xdr:cNvSpPr>
      </xdr:nvSpPr>
      <xdr:spPr bwMode="auto">
        <a:xfrm>
          <a:off x="11306464" y="1454728"/>
          <a:ext cx="3216563" cy="1554884"/>
        </a:xfrm>
        <a:prstGeom prst="rect">
          <a:avLst/>
        </a:prstGeom>
        <a:solidFill>
          <a:srgbClr val="FFFFFF"/>
        </a:solidFill>
        <a:ln w="9525">
          <a:solidFill>
            <a:srgbClr val="000000"/>
          </a:solidFill>
          <a:miter lim="800000"/>
          <a:headEnd/>
          <a:tailEnd/>
        </a:ln>
      </xdr:spPr>
    </xdr:sp>
    <xdr:clientData/>
  </xdr:twoCellAnchor>
  <xdr:twoCellAnchor>
    <xdr:from>
      <xdr:col>48</xdr:col>
      <xdr:colOff>104775</xdr:colOff>
      <xdr:row>39</xdr:row>
      <xdr:rowOff>16452</xdr:rowOff>
    </xdr:from>
    <xdr:to>
      <xdr:col>57</xdr:col>
      <xdr:colOff>104775</xdr:colOff>
      <xdr:row>39</xdr:row>
      <xdr:rowOff>127000</xdr:rowOff>
    </xdr:to>
    <xdr:sp macro="" textlink="">
      <xdr:nvSpPr>
        <xdr:cNvPr id="21" name="Rectangle 107">
          <a:extLst>
            <a:ext uri="{FF2B5EF4-FFF2-40B4-BE49-F238E27FC236}">
              <a16:creationId xmlns:a16="http://schemas.microsoft.com/office/drawing/2014/main" xmlns="" id="{3F231590-57FD-4EE6-93F0-B70452437B20}"/>
            </a:ext>
          </a:extLst>
        </xdr:cNvPr>
        <xdr:cNvSpPr>
          <a:spLocks noChangeArrowheads="1"/>
        </xdr:cNvSpPr>
      </xdr:nvSpPr>
      <xdr:spPr bwMode="auto">
        <a:xfrm>
          <a:off x="8971684" y="6839816"/>
          <a:ext cx="1662546" cy="110548"/>
        </a:xfrm>
        <a:prstGeom prst="rect">
          <a:avLst/>
        </a:prstGeom>
        <a:solidFill>
          <a:srgbClr val="FFFFFF"/>
        </a:solidFill>
        <a:ln w="9525">
          <a:solidFill>
            <a:srgbClr val="000000"/>
          </a:solidFill>
          <a:miter lim="800000"/>
          <a:headEnd/>
          <a:tailEnd/>
        </a:ln>
      </xdr:spPr>
    </xdr:sp>
    <xdr:clientData/>
  </xdr:twoCellAnchor>
  <xdr:twoCellAnchor>
    <xdr:from>
      <xdr:col>29</xdr:col>
      <xdr:colOff>0</xdr:colOff>
      <xdr:row>36</xdr:row>
      <xdr:rowOff>6928</xdr:rowOff>
    </xdr:from>
    <xdr:to>
      <xdr:col>29</xdr:col>
      <xdr:colOff>104775</xdr:colOff>
      <xdr:row>39</xdr:row>
      <xdr:rowOff>16452</xdr:rowOff>
    </xdr:to>
    <xdr:sp macro="" textlink="">
      <xdr:nvSpPr>
        <xdr:cNvPr id="22" name="Rectangle 110">
          <a:extLst>
            <a:ext uri="{FF2B5EF4-FFF2-40B4-BE49-F238E27FC236}">
              <a16:creationId xmlns:a16="http://schemas.microsoft.com/office/drawing/2014/main" xmlns="" id="{7B9651A5-88DA-4F9B-8F94-D699EB4D6D68}"/>
            </a:ext>
          </a:extLst>
        </xdr:cNvPr>
        <xdr:cNvSpPr>
          <a:spLocks noChangeArrowheads="1"/>
        </xdr:cNvSpPr>
      </xdr:nvSpPr>
      <xdr:spPr bwMode="auto">
        <a:xfrm>
          <a:off x="5357091" y="6241473"/>
          <a:ext cx="104775" cy="598343"/>
        </a:xfrm>
        <a:prstGeom prst="rect">
          <a:avLst/>
        </a:prstGeom>
        <a:solidFill>
          <a:srgbClr val="FFFFFF"/>
        </a:solidFill>
        <a:ln w="9525">
          <a:solidFill>
            <a:srgbClr val="000000"/>
          </a:solidFill>
          <a:miter lim="800000"/>
          <a:headEnd/>
          <a:tailEnd/>
        </a:ln>
      </xdr:spPr>
    </xdr:sp>
    <xdr:clientData/>
  </xdr:twoCellAnchor>
  <xdr:twoCellAnchor>
    <xdr:from>
      <xdr:col>29</xdr:col>
      <xdr:colOff>0</xdr:colOff>
      <xdr:row>30</xdr:row>
      <xdr:rowOff>111703</xdr:rowOff>
    </xdr:from>
    <xdr:to>
      <xdr:col>33</xdr:col>
      <xdr:colOff>85725</xdr:colOff>
      <xdr:row>36</xdr:row>
      <xdr:rowOff>16453</xdr:rowOff>
    </xdr:to>
    <xdr:sp macro="" textlink="">
      <xdr:nvSpPr>
        <xdr:cNvPr id="23" name="Arc 113">
          <a:extLst>
            <a:ext uri="{FF2B5EF4-FFF2-40B4-BE49-F238E27FC236}">
              <a16:creationId xmlns:a16="http://schemas.microsoft.com/office/drawing/2014/main" xmlns="" id="{0095C547-89B6-4482-A7AB-8A82A318C145}"/>
            </a:ext>
          </a:extLst>
        </xdr:cNvPr>
        <xdr:cNvSpPr>
          <a:spLocks/>
        </xdr:cNvSpPr>
      </xdr:nvSpPr>
      <xdr:spPr bwMode="auto">
        <a:xfrm flipV="1">
          <a:off x="5357091" y="5168612"/>
          <a:ext cx="824634" cy="1082386"/>
        </a:xfrm>
        <a:custGeom>
          <a:avLst/>
          <a:gdLst>
            <a:gd name="G0" fmla="+- 0 0 0"/>
            <a:gd name="G1" fmla="+- 21600 0 0"/>
            <a:gd name="G2" fmla="+- 21600 0 0"/>
            <a:gd name="T0" fmla="*/ 0 w 21600"/>
            <a:gd name="T1" fmla="*/ 0 h 22000"/>
            <a:gd name="T2" fmla="*/ 21596 w 21600"/>
            <a:gd name="T3" fmla="*/ 22000 h 22000"/>
            <a:gd name="T4" fmla="*/ 0 w 21600"/>
            <a:gd name="T5" fmla="*/ 21600 h 22000"/>
          </a:gdLst>
          <a:ahLst/>
          <a:cxnLst>
            <a:cxn ang="0">
              <a:pos x="T0" y="T1"/>
            </a:cxn>
            <a:cxn ang="0">
              <a:pos x="T2" y="T3"/>
            </a:cxn>
            <a:cxn ang="0">
              <a:pos x="T4" y="T5"/>
            </a:cxn>
          </a:cxnLst>
          <a:rect l="0" t="0" r="r" b="b"/>
          <a:pathLst>
            <a:path w="21600" h="22000" fill="none" extrusionOk="0">
              <a:moveTo>
                <a:pt x="-1" y="0"/>
              </a:moveTo>
              <a:cubicBezTo>
                <a:pt x="11929" y="0"/>
                <a:pt x="21600" y="9670"/>
                <a:pt x="21600" y="21600"/>
              </a:cubicBezTo>
              <a:cubicBezTo>
                <a:pt x="21600" y="21733"/>
                <a:pt x="21598" y="21866"/>
                <a:pt x="21596" y="22000"/>
              </a:cubicBezTo>
            </a:path>
            <a:path w="21600" h="22000" stroke="0" extrusionOk="0">
              <a:moveTo>
                <a:pt x="-1" y="0"/>
              </a:moveTo>
              <a:cubicBezTo>
                <a:pt x="11929" y="0"/>
                <a:pt x="21600" y="9670"/>
                <a:pt x="21600" y="21600"/>
              </a:cubicBezTo>
              <a:cubicBezTo>
                <a:pt x="21600" y="21733"/>
                <a:pt x="21598" y="21866"/>
                <a:pt x="21596" y="22000"/>
              </a:cubicBezTo>
              <a:lnTo>
                <a:pt x="0" y="21600"/>
              </a:lnTo>
              <a:close/>
            </a:path>
          </a:pathLst>
        </a:custGeom>
        <a:noFill/>
        <a:ln w="9525">
          <a:solidFill>
            <a:srgbClr val="000000"/>
          </a:solidFill>
          <a:round/>
          <a:headEnd/>
          <a:tailEnd/>
        </a:ln>
      </xdr:spPr>
    </xdr:sp>
    <xdr:clientData/>
  </xdr:twoCellAnchor>
  <xdr:twoCellAnchor>
    <xdr:from>
      <xdr:col>29</xdr:col>
      <xdr:colOff>9525</xdr:colOff>
      <xdr:row>30</xdr:row>
      <xdr:rowOff>102178</xdr:rowOff>
    </xdr:from>
    <xdr:to>
      <xdr:col>33</xdr:col>
      <xdr:colOff>95250</xdr:colOff>
      <xdr:row>30</xdr:row>
      <xdr:rowOff>102178</xdr:rowOff>
    </xdr:to>
    <xdr:sp macro="" textlink="">
      <xdr:nvSpPr>
        <xdr:cNvPr id="24" name="Line 114">
          <a:extLst>
            <a:ext uri="{FF2B5EF4-FFF2-40B4-BE49-F238E27FC236}">
              <a16:creationId xmlns:a16="http://schemas.microsoft.com/office/drawing/2014/main" xmlns="" id="{DC0DEA2A-17D1-491F-81CB-843D9F0BB4B4}"/>
            </a:ext>
          </a:extLst>
        </xdr:cNvPr>
        <xdr:cNvSpPr>
          <a:spLocks noChangeShapeType="1"/>
        </xdr:cNvSpPr>
      </xdr:nvSpPr>
      <xdr:spPr bwMode="auto">
        <a:xfrm>
          <a:off x="5366616" y="5159087"/>
          <a:ext cx="824634" cy="0"/>
        </a:xfrm>
        <a:prstGeom prst="line">
          <a:avLst/>
        </a:prstGeom>
        <a:noFill/>
        <a:ln w="9525">
          <a:solidFill>
            <a:srgbClr val="000000"/>
          </a:solidFill>
          <a:round/>
          <a:headEnd/>
          <a:tailEnd/>
        </a:ln>
      </xdr:spPr>
    </xdr:sp>
    <xdr:clientData/>
  </xdr:twoCellAnchor>
  <xdr:twoCellAnchor>
    <xdr:from>
      <xdr:col>53</xdr:col>
      <xdr:colOff>0</xdr:colOff>
      <xdr:row>38</xdr:row>
      <xdr:rowOff>136525</xdr:rowOff>
    </xdr:from>
    <xdr:to>
      <xdr:col>53</xdr:col>
      <xdr:colOff>0</xdr:colOff>
      <xdr:row>40</xdr:row>
      <xdr:rowOff>16453</xdr:rowOff>
    </xdr:to>
    <xdr:sp macro="" textlink="">
      <xdr:nvSpPr>
        <xdr:cNvPr id="25" name="Line 115">
          <a:extLst>
            <a:ext uri="{FF2B5EF4-FFF2-40B4-BE49-F238E27FC236}">
              <a16:creationId xmlns:a16="http://schemas.microsoft.com/office/drawing/2014/main" xmlns="" id="{EB4A4945-6BD9-4E3D-B716-B9024460B8CB}"/>
            </a:ext>
          </a:extLst>
        </xdr:cNvPr>
        <xdr:cNvSpPr>
          <a:spLocks noChangeShapeType="1"/>
        </xdr:cNvSpPr>
      </xdr:nvSpPr>
      <xdr:spPr bwMode="auto">
        <a:xfrm>
          <a:off x="9790545" y="6763616"/>
          <a:ext cx="0" cy="272473"/>
        </a:xfrm>
        <a:prstGeom prst="line">
          <a:avLst/>
        </a:prstGeom>
        <a:noFill/>
        <a:ln w="9525">
          <a:solidFill>
            <a:srgbClr val="000000"/>
          </a:solidFill>
          <a:round/>
          <a:headEnd/>
          <a:tailEnd/>
        </a:ln>
      </xdr:spPr>
    </xdr:sp>
    <xdr:clientData/>
  </xdr:twoCellAnchor>
  <xdr:twoCellAnchor>
    <xdr:from>
      <xdr:col>48</xdr:col>
      <xdr:colOff>104775</xdr:colOff>
      <xdr:row>39</xdr:row>
      <xdr:rowOff>83127</xdr:rowOff>
    </xdr:from>
    <xdr:to>
      <xdr:col>53</xdr:col>
      <xdr:colOff>19050</xdr:colOff>
      <xdr:row>39</xdr:row>
      <xdr:rowOff>83127</xdr:rowOff>
    </xdr:to>
    <xdr:sp macro="" textlink="">
      <xdr:nvSpPr>
        <xdr:cNvPr id="26" name="Line 116">
          <a:extLst>
            <a:ext uri="{FF2B5EF4-FFF2-40B4-BE49-F238E27FC236}">
              <a16:creationId xmlns:a16="http://schemas.microsoft.com/office/drawing/2014/main" xmlns="" id="{0E3AF532-405E-4CCC-A6DA-74EE6824E1E3}"/>
            </a:ext>
          </a:extLst>
        </xdr:cNvPr>
        <xdr:cNvSpPr>
          <a:spLocks noChangeShapeType="1"/>
        </xdr:cNvSpPr>
      </xdr:nvSpPr>
      <xdr:spPr bwMode="auto">
        <a:xfrm>
          <a:off x="8971684" y="6906491"/>
          <a:ext cx="837911" cy="0"/>
        </a:xfrm>
        <a:prstGeom prst="line">
          <a:avLst/>
        </a:prstGeom>
        <a:noFill/>
        <a:ln w="9525">
          <a:solidFill>
            <a:srgbClr val="000000"/>
          </a:solidFill>
          <a:round/>
          <a:headEnd/>
          <a:tailEnd/>
        </a:ln>
      </xdr:spPr>
    </xdr:sp>
    <xdr:clientData/>
  </xdr:twoCellAnchor>
  <xdr:twoCellAnchor>
    <xdr:from>
      <xdr:col>52</xdr:col>
      <xdr:colOff>171450</xdr:colOff>
      <xdr:row>39</xdr:row>
      <xdr:rowOff>54552</xdr:rowOff>
    </xdr:from>
    <xdr:to>
      <xdr:col>57</xdr:col>
      <xdr:colOff>104775</xdr:colOff>
      <xdr:row>39</xdr:row>
      <xdr:rowOff>54552</xdr:rowOff>
    </xdr:to>
    <xdr:sp macro="" textlink="">
      <xdr:nvSpPr>
        <xdr:cNvPr id="27" name="Line 117">
          <a:extLst>
            <a:ext uri="{FF2B5EF4-FFF2-40B4-BE49-F238E27FC236}">
              <a16:creationId xmlns:a16="http://schemas.microsoft.com/office/drawing/2014/main" xmlns="" id="{C70B8E8D-6285-4196-BB75-2E6EC9AA689F}"/>
            </a:ext>
          </a:extLst>
        </xdr:cNvPr>
        <xdr:cNvSpPr>
          <a:spLocks noChangeShapeType="1"/>
        </xdr:cNvSpPr>
      </xdr:nvSpPr>
      <xdr:spPr bwMode="auto">
        <a:xfrm flipH="1">
          <a:off x="9777268" y="6877916"/>
          <a:ext cx="856962" cy="0"/>
        </a:xfrm>
        <a:prstGeom prst="line">
          <a:avLst/>
        </a:prstGeom>
        <a:noFill/>
        <a:ln w="9525">
          <a:solidFill>
            <a:srgbClr val="000000"/>
          </a:solidFill>
          <a:round/>
          <a:headEnd/>
          <a:tailEnd/>
        </a:ln>
      </xdr:spPr>
    </xdr:sp>
    <xdr:clientData/>
  </xdr:twoCellAnchor>
  <xdr:twoCellAnchor>
    <xdr:from>
      <xdr:col>8</xdr:col>
      <xdr:colOff>0</xdr:colOff>
      <xdr:row>39</xdr:row>
      <xdr:rowOff>127000</xdr:rowOff>
    </xdr:from>
    <xdr:to>
      <xdr:col>8</xdr:col>
      <xdr:colOff>104775</xdr:colOff>
      <xdr:row>48</xdr:row>
      <xdr:rowOff>193676</xdr:rowOff>
    </xdr:to>
    <xdr:sp macro="" textlink="">
      <xdr:nvSpPr>
        <xdr:cNvPr id="28" name="Rectangle 118">
          <a:extLst>
            <a:ext uri="{FF2B5EF4-FFF2-40B4-BE49-F238E27FC236}">
              <a16:creationId xmlns:a16="http://schemas.microsoft.com/office/drawing/2014/main" xmlns="" id="{22B922EA-7FC9-48E8-B5F6-DBA567756FF6}"/>
            </a:ext>
          </a:extLst>
        </xdr:cNvPr>
        <xdr:cNvSpPr>
          <a:spLocks noChangeArrowheads="1"/>
        </xdr:cNvSpPr>
      </xdr:nvSpPr>
      <xdr:spPr bwMode="auto">
        <a:xfrm>
          <a:off x="1477818" y="6950364"/>
          <a:ext cx="104775" cy="1833130"/>
        </a:xfrm>
        <a:prstGeom prst="rect">
          <a:avLst/>
        </a:prstGeom>
        <a:solidFill>
          <a:srgbClr val="FFFFFF"/>
        </a:solidFill>
        <a:ln w="9525">
          <a:solidFill>
            <a:srgbClr val="000000"/>
          </a:solidFill>
          <a:miter lim="800000"/>
          <a:headEnd/>
          <a:tailEnd/>
        </a:ln>
      </xdr:spPr>
    </xdr:sp>
    <xdr:clientData/>
  </xdr:twoCellAnchor>
  <xdr:twoCellAnchor>
    <xdr:from>
      <xdr:col>7</xdr:col>
      <xdr:colOff>123825</xdr:colOff>
      <xdr:row>44</xdr:row>
      <xdr:rowOff>25978</xdr:rowOff>
    </xdr:from>
    <xdr:to>
      <xdr:col>9</xdr:col>
      <xdr:colOff>19050</xdr:colOff>
      <xdr:row>44</xdr:row>
      <xdr:rowOff>25978</xdr:rowOff>
    </xdr:to>
    <xdr:sp macro="" textlink="">
      <xdr:nvSpPr>
        <xdr:cNvPr id="29" name="Line 120">
          <a:extLst>
            <a:ext uri="{FF2B5EF4-FFF2-40B4-BE49-F238E27FC236}">
              <a16:creationId xmlns:a16="http://schemas.microsoft.com/office/drawing/2014/main" xmlns="" id="{762A889E-99C5-41A9-82D6-21E6B158991A}"/>
            </a:ext>
          </a:extLst>
        </xdr:cNvPr>
        <xdr:cNvSpPr>
          <a:spLocks noChangeShapeType="1"/>
        </xdr:cNvSpPr>
      </xdr:nvSpPr>
      <xdr:spPr bwMode="auto">
        <a:xfrm>
          <a:off x="1416916" y="7830705"/>
          <a:ext cx="264679" cy="0"/>
        </a:xfrm>
        <a:prstGeom prst="line">
          <a:avLst/>
        </a:prstGeom>
        <a:noFill/>
        <a:ln w="9525">
          <a:solidFill>
            <a:srgbClr val="000000"/>
          </a:solidFill>
          <a:round/>
          <a:headEnd/>
          <a:tailEnd/>
        </a:ln>
      </xdr:spPr>
    </xdr:sp>
    <xdr:clientData/>
  </xdr:twoCellAnchor>
  <xdr:twoCellAnchor>
    <xdr:from>
      <xdr:col>8</xdr:col>
      <xdr:colOff>66675</xdr:colOff>
      <xdr:row>39</xdr:row>
      <xdr:rowOff>73602</xdr:rowOff>
    </xdr:from>
    <xdr:to>
      <xdr:col>8</xdr:col>
      <xdr:colOff>66675</xdr:colOff>
      <xdr:row>45</xdr:row>
      <xdr:rowOff>45028</xdr:rowOff>
    </xdr:to>
    <xdr:sp macro="" textlink="">
      <xdr:nvSpPr>
        <xdr:cNvPr id="30" name="Line 121">
          <a:extLst>
            <a:ext uri="{FF2B5EF4-FFF2-40B4-BE49-F238E27FC236}">
              <a16:creationId xmlns:a16="http://schemas.microsoft.com/office/drawing/2014/main" xmlns="" id="{4A79C0D4-AF22-40B4-A586-1E4A424D9C31}"/>
            </a:ext>
          </a:extLst>
        </xdr:cNvPr>
        <xdr:cNvSpPr>
          <a:spLocks noChangeShapeType="1"/>
        </xdr:cNvSpPr>
      </xdr:nvSpPr>
      <xdr:spPr bwMode="auto">
        <a:xfrm>
          <a:off x="1544493" y="6896966"/>
          <a:ext cx="0" cy="1149062"/>
        </a:xfrm>
        <a:prstGeom prst="line">
          <a:avLst/>
        </a:prstGeom>
        <a:noFill/>
        <a:ln w="9525">
          <a:solidFill>
            <a:srgbClr val="000000"/>
          </a:solidFill>
          <a:round/>
          <a:headEnd/>
          <a:tailEnd/>
        </a:ln>
      </xdr:spPr>
    </xdr:sp>
    <xdr:clientData/>
  </xdr:twoCellAnchor>
  <xdr:twoCellAnchor>
    <xdr:from>
      <xdr:col>8</xdr:col>
      <xdr:colOff>0</xdr:colOff>
      <xdr:row>37</xdr:row>
      <xdr:rowOff>136526</xdr:rowOff>
    </xdr:from>
    <xdr:to>
      <xdr:col>8</xdr:col>
      <xdr:colOff>104775</xdr:colOff>
      <xdr:row>39</xdr:row>
      <xdr:rowOff>35502</xdr:rowOff>
    </xdr:to>
    <xdr:sp macro="" textlink="">
      <xdr:nvSpPr>
        <xdr:cNvPr id="31" name="Rectangle 123">
          <a:extLst>
            <a:ext uri="{FF2B5EF4-FFF2-40B4-BE49-F238E27FC236}">
              <a16:creationId xmlns:a16="http://schemas.microsoft.com/office/drawing/2014/main" xmlns="" id="{E9217E18-684E-420E-A0C0-246AE8F4104C}"/>
            </a:ext>
          </a:extLst>
        </xdr:cNvPr>
        <xdr:cNvSpPr>
          <a:spLocks noChangeArrowheads="1"/>
        </xdr:cNvSpPr>
      </xdr:nvSpPr>
      <xdr:spPr bwMode="auto">
        <a:xfrm>
          <a:off x="1477818" y="6567344"/>
          <a:ext cx="104775" cy="291522"/>
        </a:xfrm>
        <a:prstGeom prst="rect">
          <a:avLst/>
        </a:prstGeom>
        <a:solidFill>
          <a:srgbClr val="FFFFFF"/>
        </a:solidFill>
        <a:ln w="9525">
          <a:solidFill>
            <a:srgbClr val="000000"/>
          </a:solidFill>
          <a:miter lim="800000"/>
          <a:headEnd/>
          <a:tailEnd/>
        </a:ln>
      </xdr:spPr>
    </xdr:sp>
    <xdr:clientData/>
  </xdr:twoCellAnchor>
  <xdr:twoCellAnchor>
    <xdr:from>
      <xdr:col>3</xdr:col>
      <xdr:colOff>19050</xdr:colOff>
      <xdr:row>30</xdr:row>
      <xdr:rowOff>136525</xdr:rowOff>
    </xdr:from>
    <xdr:to>
      <xdr:col>8</xdr:col>
      <xdr:colOff>104775</xdr:colOff>
      <xdr:row>37</xdr:row>
      <xdr:rowOff>136526</xdr:rowOff>
    </xdr:to>
    <xdr:sp macro="" textlink="">
      <xdr:nvSpPr>
        <xdr:cNvPr id="32" name="Arc 124">
          <a:extLst>
            <a:ext uri="{FF2B5EF4-FFF2-40B4-BE49-F238E27FC236}">
              <a16:creationId xmlns:a16="http://schemas.microsoft.com/office/drawing/2014/main" xmlns="" id="{D2855782-C940-49A8-A7EF-E7EBF64081CE}"/>
            </a:ext>
          </a:extLst>
        </xdr:cNvPr>
        <xdr:cNvSpPr>
          <a:spLocks/>
        </xdr:cNvSpPr>
      </xdr:nvSpPr>
      <xdr:spPr bwMode="auto">
        <a:xfrm flipH="1" flipV="1">
          <a:off x="573232" y="5193434"/>
          <a:ext cx="1009361" cy="1373910"/>
        </a:xfrm>
        <a:custGeom>
          <a:avLst/>
          <a:gdLst>
            <a:gd name="G0" fmla="+- 0 0 0"/>
            <a:gd name="G1" fmla="+- 21600 0 0"/>
            <a:gd name="G2" fmla="+- 21600 0 0"/>
            <a:gd name="T0" fmla="*/ 0 w 21600"/>
            <a:gd name="T1" fmla="*/ 0 h 21600"/>
            <a:gd name="T2" fmla="*/ 21600 w 21600"/>
            <a:gd name="T3" fmla="*/ 21600 h 21600"/>
            <a:gd name="T4" fmla="*/ 0 w 21600"/>
            <a:gd name="T5" fmla="*/ 21600 h 21600"/>
          </a:gdLst>
          <a:ahLst/>
          <a:cxnLst>
            <a:cxn ang="0">
              <a:pos x="T0" y="T1"/>
            </a:cxn>
            <a:cxn ang="0">
              <a:pos x="T2" y="T3"/>
            </a:cxn>
            <a:cxn ang="0">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xdr:spPr>
    </xdr:sp>
    <xdr:clientData/>
  </xdr:twoCellAnchor>
  <xdr:twoCellAnchor>
    <xdr:from>
      <xdr:col>3</xdr:col>
      <xdr:colOff>19050</xdr:colOff>
      <xdr:row>30</xdr:row>
      <xdr:rowOff>127000</xdr:rowOff>
    </xdr:from>
    <xdr:to>
      <xdr:col>8</xdr:col>
      <xdr:colOff>0</xdr:colOff>
      <xdr:row>30</xdr:row>
      <xdr:rowOff>127000</xdr:rowOff>
    </xdr:to>
    <xdr:sp macro="" textlink="">
      <xdr:nvSpPr>
        <xdr:cNvPr id="33" name="Line 125">
          <a:extLst>
            <a:ext uri="{FF2B5EF4-FFF2-40B4-BE49-F238E27FC236}">
              <a16:creationId xmlns:a16="http://schemas.microsoft.com/office/drawing/2014/main" xmlns="" id="{27EF8676-44C2-47C0-A2D3-EAC9BC917683}"/>
            </a:ext>
          </a:extLst>
        </xdr:cNvPr>
        <xdr:cNvSpPr>
          <a:spLocks noChangeShapeType="1"/>
        </xdr:cNvSpPr>
      </xdr:nvSpPr>
      <xdr:spPr bwMode="auto">
        <a:xfrm flipH="1">
          <a:off x="573232" y="5183909"/>
          <a:ext cx="904586" cy="0"/>
        </a:xfrm>
        <a:prstGeom prst="line">
          <a:avLst/>
        </a:prstGeom>
        <a:noFill/>
        <a:ln w="9525">
          <a:solidFill>
            <a:srgbClr val="000000"/>
          </a:solidFill>
          <a:round/>
          <a:headEnd/>
          <a:tailEnd/>
        </a:ln>
      </xdr:spPr>
    </xdr:sp>
    <xdr:clientData/>
  </xdr:twoCellAnchor>
  <xdr:twoCellAnchor>
    <xdr:from>
      <xdr:col>29</xdr:col>
      <xdr:colOff>0</xdr:colOff>
      <xdr:row>39</xdr:row>
      <xdr:rowOff>127000</xdr:rowOff>
    </xdr:from>
    <xdr:to>
      <xdr:col>29</xdr:col>
      <xdr:colOff>104775</xdr:colOff>
      <xdr:row>89</xdr:row>
      <xdr:rowOff>127000</xdr:rowOff>
    </xdr:to>
    <xdr:sp macro="" textlink="">
      <xdr:nvSpPr>
        <xdr:cNvPr id="34" name="Rectangle 127">
          <a:extLst>
            <a:ext uri="{FF2B5EF4-FFF2-40B4-BE49-F238E27FC236}">
              <a16:creationId xmlns:a16="http://schemas.microsoft.com/office/drawing/2014/main" xmlns="" id="{7624D39D-D895-47CA-B905-099F6D268272}"/>
            </a:ext>
          </a:extLst>
        </xdr:cNvPr>
        <xdr:cNvSpPr>
          <a:spLocks noChangeArrowheads="1"/>
        </xdr:cNvSpPr>
      </xdr:nvSpPr>
      <xdr:spPr bwMode="auto">
        <a:xfrm>
          <a:off x="5357091" y="6950364"/>
          <a:ext cx="104775" cy="9813636"/>
        </a:xfrm>
        <a:prstGeom prst="rect">
          <a:avLst/>
        </a:prstGeom>
        <a:solidFill>
          <a:srgbClr val="FFFFFF"/>
        </a:solidFill>
        <a:ln w="9525">
          <a:solidFill>
            <a:srgbClr val="000000"/>
          </a:solidFill>
          <a:miter lim="800000"/>
          <a:headEnd/>
          <a:tailEnd/>
        </a:ln>
      </xdr:spPr>
    </xdr:sp>
    <xdr:clientData/>
  </xdr:twoCellAnchor>
  <xdr:twoCellAnchor>
    <xdr:from>
      <xdr:col>28</xdr:col>
      <xdr:colOff>123825</xdr:colOff>
      <xdr:row>44</xdr:row>
      <xdr:rowOff>25978</xdr:rowOff>
    </xdr:from>
    <xdr:to>
      <xdr:col>30</xdr:col>
      <xdr:colOff>19050</xdr:colOff>
      <xdr:row>44</xdr:row>
      <xdr:rowOff>25978</xdr:rowOff>
    </xdr:to>
    <xdr:sp macro="" textlink="">
      <xdr:nvSpPr>
        <xdr:cNvPr id="35" name="Line 128">
          <a:extLst>
            <a:ext uri="{FF2B5EF4-FFF2-40B4-BE49-F238E27FC236}">
              <a16:creationId xmlns:a16="http://schemas.microsoft.com/office/drawing/2014/main" xmlns="" id="{0BBD8A8F-2192-46B4-B01E-8DE31D58EAFA}"/>
            </a:ext>
          </a:extLst>
        </xdr:cNvPr>
        <xdr:cNvSpPr>
          <a:spLocks noChangeShapeType="1"/>
        </xdr:cNvSpPr>
      </xdr:nvSpPr>
      <xdr:spPr bwMode="auto">
        <a:xfrm>
          <a:off x="5296189" y="7830705"/>
          <a:ext cx="264679" cy="0"/>
        </a:xfrm>
        <a:prstGeom prst="line">
          <a:avLst/>
        </a:prstGeom>
        <a:noFill/>
        <a:ln w="9525">
          <a:solidFill>
            <a:srgbClr val="000000"/>
          </a:solidFill>
          <a:round/>
          <a:headEnd/>
          <a:tailEnd/>
        </a:ln>
      </xdr:spPr>
    </xdr:sp>
    <xdr:clientData/>
  </xdr:twoCellAnchor>
  <xdr:twoCellAnchor>
    <xdr:from>
      <xdr:col>29</xdr:col>
      <xdr:colOff>66675</xdr:colOff>
      <xdr:row>39</xdr:row>
      <xdr:rowOff>73602</xdr:rowOff>
    </xdr:from>
    <xdr:to>
      <xdr:col>29</xdr:col>
      <xdr:colOff>66675</xdr:colOff>
      <xdr:row>45</xdr:row>
      <xdr:rowOff>6928</xdr:rowOff>
    </xdr:to>
    <xdr:sp macro="" textlink="">
      <xdr:nvSpPr>
        <xdr:cNvPr id="36" name="Line 129">
          <a:extLst>
            <a:ext uri="{FF2B5EF4-FFF2-40B4-BE49-F238E27FC236}">
              <a16:creationId xmlns:a16="http://schemas.microsoft.com/office/drawing/2014/main" xmlns="" id="{FA216E62-4CFC-45E1-8975-B008CA38845E}"/>
            </a:ext>
          </a:extLst>
        </xdr:cNvPr>
        <xdr:cNvSpPr>
          <a:spLocks noChangeShapeType="1"/>
        </xdr:cNvSpPr>
      </xdr:nvSpPr>
      <xdr:spPr bwMode="auto">
        <a:xfrm>
          <a:off x="5423766" y="6896966"/>
          <a:ext cx="0" cy="1110962"/>
        </a:xfrm>
        <a:prstGeom prst="line">
          <a:avLst/>
        </a:prstGeom>
        <a:noFill/>
        <a:ln w="9525">
          <a:solidFill>
            <a:srgbClr val="000000"/>
          </a:solidFill>
          <a:round/>
          <a:headEnd/>
          <a:tailEnd/>
        </a:ln>
      </xdr:spPr>
    </xdr:sp>
    <xdr:clientData/>
  </xdr:twoCellAnchor>
  <xdr:twoCellAnchor>
    <xdr:from>
      <xdr:col>1</xdr:col>
      <xdr:colOff>0</xdr:colOff>
      <xdr:row>48</xdr:row>
      <xdr:rowOff>127001</xdr:rowOff>
    </xdr:from>
    <xdr:to>
      <xdr:col>29</xdr:col>
      <xdr:colOff>104775</xdr:colOff>
      <xdr:row>49</xdr:row>
      <xdr:rowOff>35503</xdr:rowOff>
    </xdr:to>
    <xdr:sp macro="" textlink="">
      <xdr:nvSpPr>
        <xdr:cNvPr id="37" name="Rectangle 131">
          <a:extLst>
            <a:ext uri="{FF2B5EF4-FFF2-40B4-BE49-F238E27FC236}">
              <a16:creationId xmlns:a16="http://schemas.microsoft.com/office/drawing/2014/main" xmlns="" id="{A2789DA7-759A-444F-A030-B67A767EF177}"/>
            </a:ext>
          </a:extLst>
        </xdr:cNvPr>
        <xdr:cNvSpPr>
          <a:spLocks noChangeArrowheads="1"/>
        </xdr:cNvSpPr>
      </xdr:nvSpPr>
      <xdr:spPr bwMode="auto">
        <a:xfrm>
          <a:off x="184727" y="8716819"/>
          <a:ext cx="5277139" cy="104775"/>
        </a:xfrm>
        <a:prstGeom prst="rect">
          <a:avLst/>
        </a:prstGeom>
        <a:solidFill>
          <a:srgbClr val="FFFFFF"/>
        </a:solidFill>
        <a:ln w="9525">
          <a:solidFill>
            <a:srgbClr val="000000"/>
          </a:solidFill>
          <a:miter lim="800000"/>
          <a:headEnd/>
          <a:tailEnd/>
        </a:ln>
      </xdr:spPr>
    </xdr:sp>
    <xdr:clientData/>
  </xdr:twoCellAnchor>
  <xdr:twoCellAnchor>
    <xdr:from>
      <xdr:col>8</xdr:col>
      <xdr:colOff>38100</xdr:colOff>
      <xdr:row>43</xdr:row>
      <xdr:rowOff>73602</xdr:rowOff>
    </xdr:from>
    <xdr:to>
      <xdr:col>8</xdr:col>
      <xdr:colOff>38100</xdr:colOff>
      <xdr:row>48</xdr:row>
      <xdr:rowOff>174626</xdr:rowOff>
    </xdr:to>
    <xdr:sp macro="" textlink="">
      <xdr:nvSpPr>
        <xdr:cNvPr id="38" name="Line 122">
          <a:extLst>
            <a:ext uri="{FF2B5EF4-FFF2-40B4-BE49-F238E27FC236}">
              <a16:creationId xmlns:a16="http://schemas.microsoft.com/office/drawing/2014/main" xmlns="" id="{7925FFE8-1770-4155-A17E-FB1459828744}"/>
            </a:ext>
          </a:extLst>
        </xdr:cNvPr>
        <xdr:cNvSpPr>
          <a:spLocks noChangeShapeType="1"/>
        </xdr:cNvSpPr>
      </xdr:nvSpPr>
      <xdr:spPr bwMode="auto">
        <a:xfrm>
          <a:off x="1515918" y="7682057"/>
          <a:ext cx="0" cy="1082387"/>
        </a:xfrm>
        <a:prstGeom prst="line">
          <a:avLst/>
        </a:prstGeom>
        <a:noFill/>
        <a:ln w="9525">
          <a:solidFill>
            <a:srgbClr val="000000"/>
          </a:solidFill>
          <a:round/>
          <a:headEnd/>
          <a:tailEnd/>
        </a:ln>
      </xdr:spPr>
    </xdr:sp>
    <xdr:clientData/>
  </xdr:twoCellAnchor>
  <xdr:twoCellAnchor>
    <xdr:from>
      <xdr:col>29</xdr:col>
      <xdr:colOff>38100</xdr:colOff>
      <xdr:row>43</xdr:row>
      <xdr:rowOff>54552</xdr:rowOff>
    </xdr:from>
    <xdr:to>
      <xdr:col>29</xdr:col>
      <xdr:colOff>38100</xdr:colOff>
      <xdr:row>48</xdr:row>
      <xdr:rowOff>193676</xdr:rowOff>
    </xdr:to>
    <xdr:sp macro="" textlink="">
      <xdr:nvSpPr>
        <xdr:cNvPr id="39" name="Line 130">
          <a:extLst>
            <a:ext uri="{FF2B5EF4-FFF2-40B4-BE49-F238E27FC236}">
              <a16:creationId xmlns:a16="http://schemas.microsoft.com/office/drawing/2014/main" xmlns="" id="{DA3FDD77-5C50-4FC3-AA64-8F548630EB4B}"/>
            </a:ext>
          </a:extLst>
        </xdr:cNvPr>
        <xdr:cNvSpPr>
          <a:spLocks noChangeShapeType="1"/>
        </xdr:cNvSpPr>
      </xdr:nvSpPr>
      <xdr:spPr bwMode="auto">
        <a:xfrm>
          <a:off x="5395191" y="7663007"/>
          <a:ext cx="0" cy="1120487"/>
        </a:xfrm>
        <a:prstGeom prst="line">
          <a:avLst/>
        </a:prstGeom>
        <a:noFill/>
        <a:ln w="9525">
          <a:solidFill>
            <a:srgbClr val="000000"/>
          </a:solidFill>
          <a:round/>
          <a:headEnd/>
          <a:tailEnd/>
        </a:ln>
      </xdr:spPr>
    </xdr:sp>
    <xdr:clientData/>
  </xdr:twoCellAnchor>
  <xdr:twoCellAnchor>
    <xdr:from>
      <xdr:col>21</xdr:col>
      <xdr:colOff>184150</xdr:colOff>
      <xdr:row>39</xdr:row>
      <xdr:rowOff>127000</xdr:rowOff>
    </xdr:from>
    <xdr:to>
      <xdr:col>29</xdr:col>
      <xdr:colOff>0</xdr:colOff>
      <xdr:row>41</xdr:row>
      <xdr:rowOff>35503</xdr:rowOff>
    </xdr:to>
    <xdr:sp macro="" textlink="">
      <xdr:nvSpPr>
        <xdr:cNvPr id="40" name="Rectangle 132">
          <a:extLst>
            <a:ext uri="{FF2B5EF4-FFF2-40B4-BE49-F238E27FC236}">
              <a16:creationId xmlns:a16="http://schemas.microsoft.com/office/drawing/2014/main" xmlns="" id="{815CA64C-D907-423D-9061-71247D1A8341}"/>
            </a:ext>
          </a:extLst>
        </xdr:cNvPr>
        <xdr:cNvSpPr>
          <a:spLocks noChangeArrowheads="1"/>
        </xdr:cNvSpPr>
      </xdr:nvSpPr>
      <xdr:spPr bwMode="auto">
        <a:xfrm>
          <a:off x="4063423" y="6950364"/>
          <a:ext cx="1293668" cy="301048"/>
        </a:xfrm>
        <a:prstGeom prst="rect">
          <a:avLst/>
        </a:prstGeom>
        <a:solidFill>
          <a:srgbClr val="FFFFFF"/>
        </a:solidFill>
        <a:ln w="9525">
          <a:solidFill>
            <a:srgbClr val="000000"/>
          </a:solidFill>
          <a:miter lim="800000"/>
          <a:headEnd/>
          <a:tailEnd/>
        </a:ln>
      </xdr:spPr>
    </xdr:sp>
    <xdr:clientData/>
  </xdr:twoCellAnchor>
  <xdr:twoCellAnchor>
    <xdr:from>
      <xdr:col>21</xdr:col>
      <xdr:colOff>184150</xdr:colOff>
      <xdr:row>47</xdr:row>
      <xdr:rowOff>16453</xdr:rowOff>
    </xdr:from>
    <xdr:to>
      <xdr:col>29</xdr:col>
      <xdr:colOff>0</xdr:colOff>
      <xdr:row>48</xdr:row>
      <xdr:rowOff>127001</xdr:rowOff>
    </xdr:to>
    <xdr:sp macro="" textlink="">
      <xdr:nvSpPr>
        <xdr:cNvPr id="41" name="Rectangle 133">
          <a:extLst>
            <a:ext uri="{FF2B5EF4-FFF2-40B4-BE49-F238E27FC236}">
              <a16:creationId xmlns:a16="http://schemas.microsoft.com/office/drawing/2014/main" xmlns="" id="{3F3567E2-A8B0-4085-821E-A0C87595880A}"/>
            </a:ext>
          </a:extLst>
        </xdr:cNvPr>
        <xdr:cNvSpPr>
          <a:spLocks noChangeArrowheads="1"/>
        </xdr:cNvSpPr>
      </xdr:nvSpPr>
      <xdr:spPr bwMode="auto">
        <a:xfrm>
          <a:off x="4063423" y="8409998"/>
          <a:ext cx="1293668" cy="306821"/>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48</xdr:row>
      <xdr:rowOff>127001</xdr:rowOff>
    </xdr:from>
    <xdr:to>
      <xdr:col>1</xdr:col>
      <xdr:colOff>95250</xdr:colOff>
      <xdr:row>89</xdr:row>
      <xdr:rowOff>127000</xdr:rowOff>
    </xdr:to>
    <xdr:sp macro="" textlink="">
      <xdr:nvSpPr>
        <xdr:cNvPr id="42" name="Rectangle 134">
          <a:extLst>
            <a:ext uri="{FF2B5EF4-FFF2-40B4-BE49-F238E27FC236}">
              <a16:creationId xmlns:a16="http://schemas.microsoft.com/office/drawing/2014/main" xmlns="" id="{D553E76A-26CD-47E9-A9E9-986D84E56CFF}"/>
            </a:ext>
          </a:extLst>
        </xdr:cNvPr>
        <xdr:cNvSpPr>
          <a:spLocks noChangeArrowheads="1"/>
        </xdr:cNvSpPr>
      </xdr:nvSpPr>
      <xdr:spPr bwMode="auto">
        <a:xfrm>
          <a:off x="184727" y="8716819"/>
          <a:ext cx="95250" cy="8047181"/>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89</xdr:row>
      <xdr:rowOff>25978</xdr:rowOff>
    </xdr:from>
    <xdr:to>
      <xdr:col>78</xdr:col>
      <xdr:colOff>121600</xdr:colOff>
      <xdr:row>89</xdr:row>
      <xdr:rowOff>127000</xdr:rowOff>
    </xdr:to>
    <xdr:sp macro="" textlink="">
      <xdr:nvSpPr>
        <xdr:cNvPr id="43" name="Rectangle 135">
          <a:extLst>
            <a:ext uri="{FF2B5EF4-FFF2-40B4-BE49-F238E27FC236}">
              <a16:creationId xmlns:a16="http://schemas.microsoft.com/office/drawing/2014/main" xmlns="" id="{4C90654B-08A9-42C6-941D-CF32490C5867}"/>
            </a:ext>
          </a:extLst>
        </xdr:cNvPr>
        <xdr:cNvSpPr>
          <a:spLocks noChangeArrowheads="1"/>
        </xdr:cNvSpPr>
      </xdr:nvSpPr>
      <xdr:spPr bwMode="auto">
        <a:xfrm>
          <a:off x="184727" y="16662978"/>
          <a:ext cx="14345600" cy="101022"/>
        </a:xfrm>
        <a:prstGeom prst="rect">
          <a:avLst/>
        </a:prstGeom>
        <a:solidFill>
          <a:srgbClr val="FFFFFF"/>
        </a:solidFill>
        <a:ln w="9525">
          <a:solidFill>
            <a:srgbClr val="000000"/>
          </a:solidFill>
          <a:miter lim="800000"/>
          <a:headEnd/>
          <a:tailEnd/>
        </a:ln>
      </xdr:spPr>
    </xdr:sp>
    <xdr:clientData/>
  </xdr:twoCellAnchor>
  <xdr:twoCellAnchor>
    <xdr:from>
      <xdr:col>0</xdr:col>
      <xdr:colOff>123825</xdr:colOff>
      <xdr:row>57</xdr:row>
      <xdr:rowOff>127000</xdr:rowOff>
    </xdr:from>
    <xdr:to>
      <xdr:col>1</xdr:col>
      <xdr:colOff>171450</xdr:colOff>
      <xdr:row>77</xdr:row>
      <xdr:rowOff>111703</xdr:rowOff>
    </xdr:to>
    <xdr:sp macro="" textlink="">
      <xdr:nvSpPr>
        <xdr:cNvPr id="44" name="Rectangle 207">
          <a:extLst>
            <a:ext uri="{FF2B5EF4-FFF2-40B4-BE49-F238E27FC236}">
              <a16:creationId xmlns:a16="http://schemas.microsoft.com/office/drawing/2014/main" xmlns="" id="{39CB31F9-5AAB-4095-AAF7-99DEDF567D92}"/>
            </a:ext>
          </a:extLst>
        </xdr:cNvPr>
        <xdr:cNvSpPr>
          <a:spLocks noChangeArrowheads="1"/>
        </xdr:cNvSpPr>
      </xdr:nvSpPr>
      <xdr:spPr bwMode="auto">
        <a:xfrm>
          <a:off x="123825" y="10483273"/>
          <a:ext cx="232352" cy="3910157"/>
        </a:xfrm>
        <a:prstGeom prst="rect">
          <a:avLst/>
        </a:prstGeom>
        <a:solidFill>
          <a:srgbClr val="C0C0C0"/>
        </a:solidFill>
        <a:ln w="9525">
          <a:solidFill>
            <a:srgbClr val="000000"/>
          </a:solidFill>
          <a:miter lim="800000"/>
          <a:headEnd/>
          <a:tailEnd/>
        </a:ln>
      </xdr:spPr>
    </xdr:sp>
    <xdr:clientData/>
  </xdr:twoCellAnchor>
  <xdr:twoCellAnchor>
    <xdr:from>
      <xdr:col>1</xdr:col>
      <xdr:colOff>161925</xdr:colOff>
      <xdr:row>81</xdr:row>
      <xdr:rowOff>54553</xdr:rowOff>
    </xdr:from>
    <xdr:to>
      <xdr:col>9</xdr:col>
      <xdr:colOff>0</xdr:colOff>
      <xdr:row>88</xdr:row>
      <xdr:rowOff>165101</xdr:rowOff>
    </xdr:to>
    <xdr:grpSp>
      <xdr:nvGrpSpPr>
        <xdr:cNvPr id="45" name="Group 208">
          <a:extLst>
            <a:ext uri="{FF2B5EF4-FFF2-40B4-BE49-F238E27FC236}">
              <a16:creationId xmlns:a16="http://schemas.microsoft.com/office/drawing/2014/main" xmlns="" id="{86B8D735-A35E-494C-AE6C-309EA4D1A90D}"/>
            </a:ext>
          </a:extLst>
        </xdr:cNvPr>
        <xdr:cNvGrpSpPr>
          <a:grpSpLocks/>
        </xdr:cNvGrpSpPr>
      </xdr:nvGrpSpPr>
      <xdr:grpSpPr bwMode="auto">
        <a:xfrm>
          <a:off x="343354" y="15385267"/>
          <a:ext cx="1289503" cy="1507548"/>
          <a:chOff x="80" y="59"/>
          <a:chExt cx="151" cy="151"/>
        </a:xfrm>
      </xdr:grpSpPr>
      <xdr:sp macro="" textlink="">
        <xdr:nvSpPr>
          <xdr:cNvPr id="46" name="Rectangle 209">
            <a:extLst>
              <a:ext uri="{FF2B5EF4-FFF2-40B4-BE49-F238E27FC236}">
                <a16:creationId xmlns:a16="http://schemas.microsoft.com/office/drawing/2014/main" xmlns="" id="{8CC74E0D-ED88-304A-4145-116F9A2EA620}"/>
              </a:ext>
            </a:extLst>
          </xdr:cNvPr>
          <xdr:cNvSpPr>
            <a:spLocks noChangeArrowheads="1"/>
          </xdr:cNvSpPr>
        </xdr:nvSpPr>
        <xdr:spPr bwMode="auto">
          <a:xfrm>
            <a:off x="80" y="59"/>
            <a:ext cx="151" cy="151"/>
          </a:xfrm>
          <a:prstGeom prst="rect">
            <a:avLst/>
          </a:prstGeom>
          <a:solidFill>
            <a:srgbClr val="FFFFFF"/>
          </a:solidFill>
          <a:ln w="9525">
            <a:solidFill>
              <a:srgbClr val="000000"/>
            </a:solidFill>
            <a:miter lim="800000"/>
            <a:headEnd/>
            <a:tailEnd/>
          </a:ln>
        </xdr:spPr>
      </xdr:sp>
      <xdr:sp macro="" textlink="">
        <xdr:nvSpPr>
          <xdr:cNvPr id="47" name="Line 210">
            <a:extLst>
              <a:ext uri="{FF2B5EF4-FFF2-40B4-BE49-F238E27FC236}">
                <a16:creationId xmlns:a16="http://schemas.microsoft.com/office/drawing/2014/main" xmlns="" id="{43DA8D7C-FA30-9B29-507F-7F1C0E81618C}"/>
              </a:ext>
            </a:extLst>
          </xdr:cNvPr>
          <xdr:cNvSpPr>
            <a:spLocks noChangeShapeType="1"/>
          </xdr:cNvSpPr>
        </xdr:nvSpPr>
        <xdr:spPr bwMode="auto">
          <a:xfrm>
            <a:off x="80" y="59"/>
            <a:ext cx="150" cy="150"/>
          </a:xfrm>
          <a:prstGeom prst="line">
            <a:avLst/>
          </a:prstGeom>
          <a:noFill/>
          <a:ln w="9525">
            <a:solidFill>
              <a:srgbClr val="000000"/>
            </a:solidFill>
            <a:round/>
            <a:headEnd/>
            <a:tailEnd/>
          </a:ln>
        </xdr:spPr>
      </xdr:sp>
      <xdr:sp macro="" textlink="">
        <xdr:nvSpPr>
          <xdr:cNvPr id="48" name="Line 211">
            <a:extLst>
              <a:ext uri="{FF2B5EF4-FFF2-40B4-BE49-F238E27FC236}">
                <a16:creationId xmlns:a16="http://schemas.microsoft.com/office/drawing/2014/main" xmlns="" id="{E4DA6E30-1AC7-FB3C-57F8-D03DB5781A56}"/>
              </a:ext>
            </a:extLst>
          </xdr:cNvPr>
          <xdr:cNvSpPr>
            <a:spLocks noChangeShapeType="1"/>
          </xdr:cNvSpPr>
        </xdr:nvSpPr>
        <xdr:spPr bwMode="auto">
          <a:xfrm flipH="1">
            <a:off x="80" y="60"/>
            <a:ext cx="150" cy="150"/>
          </a:xfrm>
          <a:prstGeom prst="line">
            <a:avLst/>
          </a:prstGeom>
          <a:noFill/>
          <a:ln w="9525">
            <a:solidFill>
              <a:srgbClr val="000000"/>
            </a:solidFill>
            <a:round/>
            <a:headEnd/>
            <a:tailEnd/>
          </a:ln>
        </xdr:spPr>
      </xdr:sp>
    </xdr:grpSp>
    <xdr:clientData/>
  </xdr:twoCellAnchor>
  <xdr:twoCellAnchor>
    <xdr:from>
      <xdr:col>9</xdr:col>
      <xdr:colOff>85725</xdr:colOff>
      <xdr:row>80</xdr:row>
      <xdr:rowOff>136526</xdr:rowOff>
    </xdr:from>
    <xdr:to>
      <xdr:col>9</xdr:col>
      <xdr:colOff>161925</xdr:colOff>
      <xdr:row>89</xdr:row>
      <xdr:rowOff>25978</xdr:rowOff>
    </xdr:to>
    <xdr:sp macro="" textlink="">
      <xdr:nvSpPr>
        <xdr:cNvPr id="49" name="Rectangle 219">
          <a:extLst>
            <a:ext uri="{FF2B5EF4-FFF2-40B4-BE49-F238E27FC236}">
              <a16:creationId xmlns:a16="http://schemas.microsoft.com/office/drawing/2014/main" xmlns="" id="{38EAAB06-F47D-4AAE-966E-887263B04309}"/>
            </a:ext>
          </a:extLst>
        </xdr:cNvPr>
        <xdr:cNvSpPr>
          <a:spLocks noChangeArrowheads="1"/>
        </xdr:cNvSpPr>
      </xdr:nvSpPr>
      <xdr:spPr bwMode="auto">
        <a:xfrm>
          <a:off x="1748270" y="15007071"/>
          <a:ext cx="76200" cy="1655907"/>
        </a:xfrm>
        <a:prstGeom prst="rect">
          <a:avLst/>
        </a:prstGeom>
        <a:solidFill>
          <a:srgbClr val="FFFFFF"/>
        </a:solidFill>
        <a:ln w="9525">
          <a:solidFill>
            <a:srgbClr val="000000"/>
          </a:solidFill>
          <a:miter lim="800000"/>
          <a:headEnd/>
          <a:tailEnd/>
        </a:ln>
      </xdr:spPr>
    </xdr:sp>
    <xdr:clientData/>
  </xdr:twoCellAnchor>
  <xdr:twoCellAnchor>
    <xdr:from>
      <xdr:col>1</xdr:col>
      <xdr:colOff>95250</xdr:colOff>
      <xdr:row>80</xdr:row>
      <xdr:rowOff>136526</xdr:rowOff>
    </xdr:from>
    <xdr:to>
      <xdr:col>2</xdr:col>
      <xdr:colOff>76200</xdr:colOff>
      <xdr:row>81</xdr:row>
      <xdr:rowOff>16453</xdr:rowOff>
    </xdr:to>
    <xdr:sp macro="" textlink="">
      <xdr:nvSpPr>
        <xdr:cNvPr id="50" name="Rectangle 220">
          <a:extLst>
            <a:ext uri="{FF2B5EF4-FFF2-40B4-BE49-F238E27FC236}">
              <a16:creationId xmlns:a16="http://schemas.microsoft.com/office/drawing/2014/main" xmlns="" id="{BE05607A-3C3A-49E2-991F-643B879DA03A}"/>
            </a:ext>
          </a:extLst>
        </xdr:cNvPr>
        <xdr:cNvSpPr>
          <a:spLocks noChangeArrowheads="1"/>
        </xdr:cNvSpPr>
      </xdr:nvSpPr>
      <xdr:spPr bwMode="auto">
        <a:xfrm>
          <a:off x="279977" y="15007071"/>
          <a:ext cx="165678" cy="76200"/>
        </a:xfrm>
        <a:prstGeom prst="rect">
          <a:avLst/>
        </a:prstGeom>
        <a:solidFill>
          <a:srgbClr val="FFFFFF"/>
        </a:solidFill>
        <a:ln w="9525">
          <a:solidFill>
            <a:srgbClr val="000000"/>
          </a:solidFill>
          <a:miter lim="800000"/>
          <a:headEnd/>
          <a:tailEnd/>
        </a:ln>
      </xdr:spPr>
    </xdr:sp>
    <xdr:clientData/>
  </xdr:twoCellAnchor>
  <xdr:twoCellAnchor>
    <xdr:from>
      <xdr:col>8</xdr:col>
      <xdr:colOff>95250</xdr:colOff>
      <xdr:row>80</xdr:row>
      <xdr:rowOff>136526</xdr:rowOff>
    </xdr:from>
    <xdr:to>
      <xdr:col>9</xdr:col>
      <xdr:colOff>85725</xdr:colOff>
      <xdr:row>81</xdr:row>
      <xdr:rowOff>16453</xdr:rowOff>
    </xdr:to>
    <xdr:sp macro="" textlink="">
      <xdr:nvSpPr>
        <xdr:cNvPr id="51" name="Rectangle 221">
          <a:extLst>
            <a:ext uri="{FF2B5EF4-FFF2-40B4-BE49-F238E27FC236}">
              <a16:creationId xmlns:a16="http://schemas.microsoft.com/office/drawing/2014/main" xmlns="" id="{0A05A1F6-0784-4848-B253-7543195DE638}"/>
            </a:ext>
          </a:extLst>
        </xdr:cNvPr>
        <xdr:cNvSpPr>
          <a:spLocks noChangeArrowheads="1"/>
        </xdr:cNvSpPr>
      </xdr:nvSpPr>
      <xdr:spPr bwMode="auto">
        <a:xfrm>
          <a:off x="1573068" y="15007071"/>
          <a:ext cx="175202" cy="76200"/>
        </a:xfrm>
        <a:prstGeom prst="rect">
          <a:avLst/>
        </a:prstGeom>
        <a:solidFill>
          <a:srgbClr val="FFFFFF"/>
        </a:solidFill>
        <a:ln w="9525">
          <a:solidFill>
            <a:srgbClr val="000000"/>
          </a:solidFill>
          <a:miter lim="800000"/>
          <a:headEnd/>
          <a:tailEnd/>
        </a:ln>
      </xdr:spPr>
    </xdr:sp>
    <xdr:clientData/>
  </xdr:twoCellAnchor>
  <xdr:twoCellAnchor>
    <xdr:from>
      <xdr:col>2</xdr:col>
      <xdr:colOff>76200</xdr:colOff>
      <xdr:row>80</xdr:row>
      <xdr:rowOff>174626</xdr:rowOff>
    </xdr:from>
    <xdr:to>
      <xdr:col>8</xdr:col>
      <xdr:colOff>95250</xdr:colOff>
      <xdr:row>80</xdr:row>
      <xdr:rowOff>174626</xdr:rowOff>
    </xdr:to>
    <xdr:sp macro="" textlink="">
      <xdr:nvSpPr>
        <xdr:cNvPr id="52" name="Line 222">
          <a:extLst>
            <a:ext uri="{FF2B5EF4-FFF2-40B4-BE49-F238E27FC236}">
              <a16:creationId xmlns:a16="http://schemas.microsoft.com/office/drawing/2014/main" xmlns="" id="{41C09921-ECF2-43AC-9AD2-957E18EE4680}"/>
            </a:ext>
          </a:extLst>
        </xdr:cNvPr>
        <xdr:cNvSpPr>
          <a:spLocks noChangeShapeType="1"/>
        </xdr:cNvSpPr>
      </xdr:nvSpPr>
      <xdr:spPr bwMode="auto">
        <a:xfrm>
          <a:off x="445655" y="15045171"/>
          <a:ext cx="1127413" cy="0"/>
        </a:xfrm>
        <a:prstGeom prst="line">
          <a:avLst/>
        </a:prstGeom>
        <a:noFill/>
        <a:ln w="9525">
          <a:solidFill>
            <a:srgbClr val="000000"/>
          </a:solidFill>
          <a:round/>
          <a:headEnd/>
          <a:tailEnd/>
        </a:ln>
      </xdr:spPr>
    </xdr:sp>
    <xdr:clientData/>
  </xdr:twoCellAnchor>
  <xdr:twoCellAnchor>
    <xdr:from>
      <xdr:col>3</xdr:col>
      <xdr:colOff>114300</xdr:colOff>
      <xdr:row>81</xdr:row>
      <xdr:rowOff>165101</xdr:rowOff>
    </xdr:from>
    <xdr:to>
      <xdr:col>7</xdr:col>
      <xdr:colOff>171450</xdr:colOff>
      <xdr:row>82</xdr:row>
      <xdr:rowOff>136525</xdr:rowOff>
    </xdr:to>
    <xdr:sp macro="" textlink="">
      <xdr:nvSpPr>
        <xdr:cNvPr id="53" name="Text Box 335">
          <a:extLst>
            <a:ext uri="{FF2B5EF4-FFF2-40B4-BE49-F238E27FC236}">
              <a16:creationId xmlns:a16="http://schemas.microsoft.com/office/drawing/2014/main" xmlns="" id="{E7AEA722-C991-45CB-9B21-533802230AAA}"/>
            </a:ext>
          </a:extLst>
        </xdr:cNvPr>
        <xdr:cNvSpPr txBox="1">
          <a:spLocks noChangeArrowheads="1"/>
        </xdr:cNvSpPr>
      </xdr:nvSpPr>
      <xdr:spPr bwMode="auto">
        <a:xfrm>
          <a:off x="668482" y="15231919"/>
          <a:ext cx="796059" cy="167697"/>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900" b="0" i="0" u="none" strike="noStrike" baseline="0">
              <a:solidFill>
                <a:srgbClr val="000000"/>
              </a:solidFill>
              <a:latin typeface="ＭＳ Ｐゴシック"/>
              <a:ea typeface="ＭＳ Ｐゴシック"/>
            </a:rPr>
            <a:t>リフト（昇降機）</a:t>
          </a:r>
        </a:p>
      </xdr:txBody>
    </xdr:sp>
    <xdr:clientData/>
  </xdr:twoCellAnchor>
  <xdr:twoCellAnchor>
    <xdr:from>
      <xdr:col>0</xdr:col>
      <xdr:colOff>152400</xdr:colOff>
      <xdr:row>64</xdr:row>
      <xdr:rowOff>193675</xdr:rowOff>
    </xdr:from>
    <xdr:to>
      <xdr:col>2</xdr:col>
      <xdr:colOff>0</xdr:colOff>
      <xdr:row>70</xdr:row>
      <xdr:rowOff>146051</xdr:rowOff>
    </xdr:to>
    <xdr:sp macro="" textlink="">
      <xdr:nvSpPr>
        <xdr:cNvPr id="54" name="Text Box 336">
          <a:extLst>
            <a:ext uri="{FF2B5EF4-FFF2-40B4-BE49-F238E27FC236}">
              <a16:creationId xmlns:a16="http://schemas.microsoft.com/office/drawing/2014/main" xmlns="" id="{B8861B0E-0F72-427F-BFCB-5D6B35A49D14}"/>
            </a:ext>
          </a:extLst>
        </xdr:cNvPr>
        <xdr:cNvSpPr txBox="1">
          <a:spLocks noChangeArrowheads="1"/>
        </xdr:cNvSpPr>
      </xdr:nvSpPr>
      <xdr:spPr bwMode="auto">
        <a:xfrm>
          <a:off x="152400" y="11923857"/>
          <a:ext cx="217055" cy="1130012"/>
        </a:xfrm>
        <a:prstGeom prst="rect">
          <a:avLst/>
        </a:prstGeom>
        <a:noFill/>
        <a:ln w="9525">
          <a:noFill/>
          <a:miter lim="800000"/>
          <a:headEnd/>
          <a:tailEnd/>
        </a:ln>
      </xdr:spPr>
      <xdr:txBody>
        <a:bodyPr vertOverflow="clip" vert="wordArtVertRtl" wrap="square" lIns="27432" tIns="0" rIns="0" bIns="0" anchor="b" upright="1"/>
        <a:lstStyle/>
        <a:p>
          <a:pPr algn="l" rtl="0">
            <a:defRPr sz="1000"/>
          </a:pPr>
          <a:r>
            <a:rPr lang="ja-JP" altLang="en-US" sz="1200" b="0" i="0" u="none" strike="noStrike" baseline="0">
              <a:solidFill>
                <a:srgbClr val="000000"/>
              </a:solidFill>
              <a:latin typeface="ＭＳ Ｐゴシック"/>
              <a:ea typeface="ＭＳ Ｐゴシック"/>
            </a:rPr>
            <a:t>シャッター</a:t>
          </a:r>
        </a:p>
      </xdr:txBody>
    </xdr:sp>
    <xdr:clientData/>
  </xdr:twoCellAnchor>
  <xdr:twoCellAnchor>
    <xdr:from>
      <xdr:col>2</xdr:col>
      <xdr:colOff>152400</xdr:colOff>
      <xdr:row>66</xdr:row>
      <xdr:rowOff>83128</xdr:rowOff>
    </xdr:from>
    <xdr:to>
      <xdr:col>8</xdr:col>
      <xdr:colOff>0</xdr:colOff>
      <xdr:row>68</xdr:row>
      <xdr:rowOff>193675</xdr:rowOff>
    </xdr:to>
    <xdr:sp macro="" textlink="">
      <xdr:nvSpPr>
        <xdr:cNvPr id="55" name="Text Box 410">
          <a:extLst>
            <a:ext uri="{FF2B5EF4-FFF2-40B4-BE49-F238E27FC236}">
              <a16:creationId xmlns:a16="http://schemas.microsoft.com/office/drawing/2014/main" xmlns="" id="{F7613565-C01A-4B28-B8C4-C2C45C3198FB}"/>
            </a:ext>
          </a:extLst>
        </xdr:cNvPr>
        <xdr:cNvSpPr txBox="1">
          <a:spLocks noChangeArrowheads="1"/>
        </xdr:cNvSpPr>
      </xdr:nvSpPr>
      <xdr:spPr bwMode="auto">
        <a:xfrm>
          <a:off x="521855" y="12205855"/>
          <a:ext cx="955963" cy="503093"/>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2000" b="0" i="0" u="none" strike="noStrike" baseline="0">
              <a:solidFill>
                <a:srgbClr val="000000"/>
              </a:solidFill>
              <a:latin typeface="ＭＳ Ｐゴシック"/>
              <a:ea typeface="ＭＳ Ｐゴシック"/>
            </a:rPr>
            <a:t>搬入口</a:t>
          </a:r>
        </a:p>
      </xdr:txBody>
    </xdr:sp>
    <xdr:clientData/>
  </xdr:twoCellAnchor>
  <xdr:twoCellAnchor>
    <xdr:from>
      <xdr:col>3</xdr:col>
      <xdr:colOff>177800</xdr:colOff>
      <xdr:row>54</xdr:row>
      <xdr:rowOff>102177</xdr:rowOff>
    </xdr:from>
    <xdr:to>
      <xdr:col>13</xdr:col>
      <xdr:colOff>152400</xdr:colOff>
      <xdr:row>56</xdr:row>
      <xdr:rowOff>25978</xdr:rowOff>
    </xdr:to>
    <xdr:grpSp>
      <xdr:nvGrpSpPr>
        <xdr:cNvPr id="56" name="Group 411">
          <a:extLst>
            <a:ext uri="{FF2B5EF4-FFF2-40B4-BE49-F238E27FC236}">
              <a16:creationId xmlns:a16="http://schemas.microsoft.com/office/drawing/2014/main" xmlns="" id="{00CC65A3-01CF-4D29-8FBA-2F76DD132158}"/>
            </a:ext>
          </a:extLst>
        </xdr:cNvPr>
        <xdr:cNvGrpSpPr>
          <a:grpSpLocks/>
        </xdr:cNvGrpSpPr>
      </xdr:nvGrpSpPr>
      <xdr:grpSpPr bwMode="auto">
        <a:xfrm>
          <a:off x="722086" y="10044463"/>
          <a:ext cx="1788885" cy="322944"/>
          <a:chOff x="441" y="627"/>
          <a:chExt cx="370" cy="76"/>
        </a:xfrm>
      </xdr:grpSpPr>
      <xdr:sp macro="" textlink="">
        <xdr:nvSpPr>
          <xdr:cNvPr id="57" name="AutoShape 412">
            <a:extLst>
              <a:ext uri="{FF2B5EF4-FFF2-40B4-BE49-F238E27FC236}">
                <a16:creationId xmlns:a16="http://schemas.microsoft.com/office/drawing/2014/main" xmlns="" id="{ACF37D3C-8A4C-BAC4-9994-811C0C8CC8D2}"/>
              </a:ext>
            </a:extLst>
          </xdr:cNvPr>
          <xdr:cNvSpPr>
            <a:spLocks noChangeArrowheads="1"/>
          </xdr:cNvSpPr>
        </xdr:nvSpPr>
        <xdr:spPr bwMode="auto">
          <a:xfrm flipV="1">
            <a:off x="441" y="660"/>
            <a:ext cx="370" cy="11"/>
          </a:xfrm>
          <a:prstGeom prst="roundRect">
            <a:avLst>
              <a:gd name="adj" fmla="val 16667"/>
            </a:avLst>
          </a:prstGeom>
          <a:solidFill>
            <a:srgbClr val="FFFFFF"/>
          </a:solidFill>
          <a:ln w="9525">
            <a:solidFill>
              <a:srgbClr val="000000"/>
            </a:solidFill>
            <a:round/>
            <a:headEnd/>
            <a:tailEnd/>
          </a:ln>
        </xdr:spPr>
      </xdr:sp>
      <xdr:sp macro="" textlink="">
        <xdr:nvSpPr>
          <xdr:cNvPr id="58" name="AutoShape 413">
            <a:extLst>
              <a:ext uri="{FF2B5EF4-FFF2-40B4-BE49-F238E27FC236}">
                <a16:creationId xmlns:a16="http://schemas.microsoft.com/office/drawing/2014/main" xmlns="" id="{FE385684-C783-3229-3486-1DDE69771995}"/>
              </a:ext>
            </a:extLst>
          </xdr:cNvPr>
          <xdr:cNvSpPr>
            <a:spLocks noChangeArrowheads="1"/>
          </xdr:cNvSpPr>
        </xdr:nvSpPr>
        <xdr:spPr bwMode="auto">
          <a:xfrm>
            <a:off x="475" y="627"/>
            <a:ext cx="11" cy="76"/>
          </a:xfrm>
          <a:prstGeom prst="roundRect">
            <a:avLst>
              <a:gd name="adj" fmla="val 16667"/>
            </a:avLst>
          </a:prstGeom>
          <a:solidFill>
            <a:srgbClr val="FFFFFF"/>
          </a:solidFill>
          <a:ln w="9525">
            <a:solidFill>
              <a:srgbClr val="000000"/>
            </a:solidFill>
            <a:round/>
            <a:headEnd/>
            <a:tailEnd/>
          </a:ln>
        </xdr:spPr>
      </xdr:sp>
      <xdr:sp macro="" textlink="">
        <xdr:nvSpPr>
          <xdr:cNvPr id="59" name="AutoShape 414">
            <a:extLst>
              <a:ext uri="{FF2B5EF4-FFF2-40B4-BE49-F238E27FC236}">
                <a16:creationId xmlns:a16="http://schemas.microsoft.com/office/drawing/2014/main" xmlns="" id="{00977C82-7965-F484-900E-42BA59F4A22A}"/>
              </a:ext>
            </a:extLst>
          </xdr:cNvPr>
          <xdr:cNvSpPr>
            <a:spLocks noChangeArrowheads="1"/>
          </xdr:cNvSpPr>
        </xdr:nvSpPr>
        <xdr:spPr bwMode="auto">
          <a:xfrm>
            <a:off x="517" y="627"/>
            <a:ext cx="11" cy="76"/>
          </a:xfrm>
          <a:prstGeom prst="roundRect">
            <a:avLst>
              <a:gd name="adj" fmla="val 16667"/>
            </a:avLst>
          </a:prstGeom>
          <a:solidFill>
            <a:srgbClr val="FFFFFF"/>
          </a:solidFill>
          <a:ln w="9525">
            <a:solidFill>
              <a:srgbClr val="000000"/>
            </a:solidFill>
            <a:round/>
            <a:headEnd/>
            <a:tailEnd/>
          </a:ln>
        </xdr:spPr>
      </xdr:sp>
      <xdr:sp macro="" textlink="">
        <xdr:nvSpPr>
          <xdr:cNvPr id="60" name="AutoShape 415">
            <a:extLst>
              <a:ext uri="{FF2B5EF4-FFF2-40B4-BE49-F238E27FC236}">
                <a16:creationId xmlns:a16="http://schemas.microsoft.com/office/drawing/2014/main" xmlns="" id="{7B7665B2-8952-EB82-0D01-DE805306CE20}"/>
              </a:ext>
            </a:extLst>
          </xdr:cNvPr>
          <xdr:cNvSpPr>
            <a:spLocks noChangeArrowheads="1"/>
          </xdr:cNvSpPr>
        </xdr:nvSpPr>
        <xdr:spPr bwMode="auto">
          <a:xfrm>
            <a:off x="559" y="627"/>
            <a:ext cx="11" cy="76"/>
          </a:xfrm>
          <a:prstGeom prst="roundRect">
            <a:avLst>
              <a:gd name="adj" fmla="val 16667"/>
            </a:avLst>
          </a:prstGeom>
          <a:solidFill>
            <a:srgbClr val="FFFFFF"/>
          </a:solidFill>
          <a:ln w="9525">
            <a:solidFill>
              <a:srgbClr val="000000"/>
            </a:solidFill>
            <a:round/>
            <a:headEnd/>
            <a:tailEnd/>
          </a:ln>
        </xdr:spPr>
      </xdr:sp>
      <xdr:sp macro="" textlink="">
        <xdr:nvSpPr>
          <xdr:cNvPr id="61" name="AutoShape 416">
            <a:extLst>
              <a:ext uri="{FF2B5EF4-FFF2-40B4-BE49-F238E27FC236}">
                <a16:creationId xmlns:a16="http://schemas.microsoft.com/office/drawing/2014/main" xmlns="" id="{68CBD6C3-380A-EA5C-3E1D-0BF0043C3DF8}"/>
              </a:ext>
            </a:extLst>
          </xdr:cNvPr>
          <xdr:cNvSpPr>
            <a:spLocks noChangeArrowheads="1"/>
          </xdr:cNvSpPr>
        </xdr:nvSpPr>
        <xdr:spPr bwMode="auto">
          <a:xfrm>
            <a:off x="601" y="627"/>
            <a:ext cx="11" cy="76"/>
          </a:xfrm>
          <a:prstGeom prst="roundRect">
            <a:avLst>
              <a:gd name="adj" fmla="val 16667"/>
            </a:avLst>
          </a:prstGeom>
          <a:solidFill>
            <a:srgbClr val="FFFFFF"/>
          </a:solidFill>
          <a:ln w="9525">
            <a:solidFill>
              <a:srgbClr val="000000"/>
            </a:solidFill>
            <a:round/>
            <a:headEnd/>
            <a:tailEnd/>
          </a:ln>
        </xdr:spPr>
      </xdr:sp>
      <xdr:sp macro="" textlink="">
        <xdr:nvSpPr>
          <xdr:cNvPr id="62" name="AutoShape 417">
            <a:extLst>
              <a:ext uri="{FF2B5EF4-FFF2-40B4-BE49-F238E27FC236}">
                <a16:creationId xmlns:a16="http://schemas.microsoft.com/office/drawing/2014/main" xmlns="" id="{D28A5C7C-FCA5-DE69-129D-D1F5D523DFB0}"/>
              </a:ext>
            </a:extLst>
          </xdr:cNvPr>
          <xdr:cNvSpPr>
            <a:spLocks noChangeArrowheads="1"/>
          </xdr:cNvSpPr>
        </xdr:nvSpPr>
        <xdr:spPr bwMode="auto">
          <a:xfrm>
            <a:off x="643" y="627"/>
            <a:ext cx="11" cy="76"/>
          </a:xfrm>
          <a:prstGeom prst="roundRect">
            <a:avLst>
              <a:gd name="adj" fmla="val 16667"/>
            </a:avLst>
          </a:prstGeom>
          <a:solidFill>
            <a:srgbClr val="FFFFFF"/>
          </a:solidFill>
          <a:ln w="9525">
            <a:solidFill>
              <a:srgbClr val="000000"/>
            </a:solidFill>
            <a:round/>
            <a:headEnd/>
            <a:tailEnd/>
          </a:ln>
        </xdr:spPr>
      </xdr:sp>
      <xdr:sp macro="" textlink="">
        <xdr:nvSpPr>
          <xdr:cNvPr id="63" name="AutoShape 418">
            <a:extLst>
              <a:ext uri="{FF2B5EF4-FFF2-40B4-BE49-F238E27FC236}">
                <a16:creationId xmlns:a16="http://schemas.microsoft.com/office/drawing/2014/main" xmlns="" id="{E7352E46-DECF-7004-596F-D47D95D1E3DE}"/>
              </a:ext>
            </a:extLst>
          </xdr:cNvPr>
          <xdr:cNvSpPr>
            <a:spLocks noChangeArrowheads="1"/>
          </xdr:cNvSpPr>
        </xdr:nvSpPr>
        <xdr:spPr bwMode="auto">
          <a:xfrm>
            <a:off x="685" y="627"/>
            <a:ext cx="11" cy="76"/>
          </a:xfrm>
          <a:prstGeom prst="roundRect">
            <a:avLst>
              <a:gd name="adj" fmla="val 16667"/>
            </a:avLst>
          </a:prstGeom>
          <a:solidFill>
            <a:srgbClr val="FFFFFF"/>
          </a:solidFill>
          <a:ln w="9525">
            <a:solidFill>
              <a:srgbClr val="000000"/>
            </a:solidFill>
            <a:round/>
            <a:headEnd/>
            <a:tailEnd/>
          </a:ln>
        </xdr:spPr>
      </xdr:sp>
      <xdr:sp macro="" textlink="">
        <xdr:nvSpPr>
          <xdr:cNvPr id="64" name="AutoShape 419">
            <a:extLst>
              <a:ext uri="{FF2B5EF4-FFF2-40B4-BE49-F238E27FC236}">
                <a16:creationId xmlns:a16="http://schemas.microsoft.com/office/drawing/2014/main" xmlns="" id="{B626467D-865E-5669-34F4-E68AABA88730}"/>
              </a:ext>
            </a:extLst>
          </xdr:cNvPr>
          <xdr:cNvSpPr>
            <a:spLocks noChangeArrowheads="1"/>
          </xdr:cNvSpPr>
        </xdr:nvSpPr>
        <xdr:spPr bwMode="auto">
          <a:xfrm>
            <a:off x="727" y="627"/>
            <a:ext cx="11" cy="76"/>
          </a:xfrm>
          <a:prstGeom prst="roundRect">
            <a:avLst>
              <a:gd name="adj" fmla="val 16667"/>
            </a:avLst>
          </a:prstGeom>
          <a:solidFill>
            <a:srgbClr val="FFFFFF"/>
          </a:solidFill>
          <a:ln w="9525">
            <a:solidFill>
              <a:srgbClr val="000000"/>
            </a:solidFill>
            <a:round/>
            <a:headEnd/>
            <a:tailEnd/>
          </a:ln>
        </xdr:spPr>
      </xdr:sp>
      <xdr:sp macro="" textlink="">
        <xdr:nvSpPr>
          <xdr:cNvPr id="65" name="AutoShape 420">
            <a:extLst>
              <a:ext uri="{FF2B5EF4-FFF2-40B4-BE49-F238E27FC236}">
                <a16:creationId xmlns:a16="http://schemas.microsoft.com/office/drawing/2014/main" xmlns="" id="{68B6A8CB-A135-9978-71F3-B6EBD9B7D463}"/>
              </a:ext>
            </a:extLst>
          </xdr:cNvPr>
          <xdr:cNvSpPr>
            <a:spLocks noChangeArrowheads="1"/>
          </xdr:cNvSpPr>
        </xdr:nvSpPr>
        <xdr:spPr bwMode="auto">
          <a:xfrm>
            <a:off x="769" y="627"/>
            <a:ext cx="11" cy="76"/>
          </a:xfrm>
          <a:prstGeom prst="roundRect">
            <a:avLst>
              <a:gd name="adj" fmla="val 16667"/>
            </a:avLst>
          </a:prstGeom>
          <a:solidFill>
            <a:srgbClr val="FFFFFF"/>
          </a:solidFill>
          <a:ln w="9525">
            <a:solidFill>
              <a:srgbClr val="000000"/>
            </a:solidFill>
            <a:round/>
            <a:headEnd/>
            <a:tailEnd/>
          </a:ln>
        </xdr:spPr>
      </xdr:sp>
    </xdr:grpSp>
    <xdr:clientData/>
  </xdr:twoCellAnchor>
  <xdr:twoCellAnchor>
    <xdr:from>
      <xdr:col>4</xdr:col>
      <xdr:colOff>0</xdr:colOff>
      <xdr:row>52</xdr:row>
      <xdr:rowOff>6928</xdr:rowOff>
    </xdr:from>
    <xdr:to>
      <xdr:col>13</xdr:col>
      <xdr:colOff>152400</xdr:colOff>
      <xdr:row>53</xdr:row>
      <xdr:rowOff>127000</xdr:rowOff>
    </xdr:to>
    <xdr:grpSp>
      <xdr:nvGrpSpPr>
        <xdr:cNvPr id="66" name="Group 421">
          <a:extLst>
            <a:ext uri="{FF2B5EF4-FFF2-40B4-BE49-F238E27FC236}">
              <a16:creationId xmlns:a16="http://schemas.microsoft.com/office/drawing/2014/main" xmlns="" id="{B6C824AF-3F47-46DA-99BA-77F50962994A}"/>
            </a:ext>
          </a:extLst>
        </xdr:cNvPr>
        <xdr:cNvGrpSpPr>
          <a:grpSpLocks/>
        </xdr:cNvGrpSpPr>
      </xdr:nvGrpSpPr>
      <xdr:grpSpPr bwMode="auto">
        <a:xfrm>
          <a:off x="725714" y="9550071"/>
          <a:ext cx="1785257" cy="319643"/>
          <a:chOff x="441" y="627"/>
          <a:chExt cx="370" cy="76"/>
        </a:xfrm>
      </xdr:grpSpPr>
      <xdr:sp macro="" textlink="">
        <xdr:nvSpPr>
          <xdr:cNvPr id="67" name="AutoShape 422">
            <a:extLst>
              <a:ext uri="{FF2B5EF4-FFF2-40B4-BE49-F238E27FC236}">
                <a16:creationId xmlns:a16="http://schemas.microsoft.com/office/drawing/2014/main" xmlns="" id="{969E3ACA-3C76-A897-829B-B64922CD4423}"/>
              </a:ext>
            </a:extLst>
          </xdr:cNvPr>
          <xdr:cNvSpPr>
            <a:spLocks noChangeArrowheads="1"/>
          </xdr:cNvSpPr>
        </xdr:nvSpPr>
        <xdr:spPr bwMode="auto">
          <a:xfrm flipV="1">
            <a:off x="441" y="660"/>
            <a:ext cx="370" cy="11"/>
          </a:xfrm>
          <a:prstGeom prst="roundRect">
            <a:avLst>
              <a:gd name="adj" fmla="val 16667"/>
            </a:avLst>
          </a:prstGeom>
          <a:solidFill>
            <a:srgbClr val="FFFFFF"/>
          </a:solidFill>
          <a:ln w="9525">
            <a:solidFill>
              <a:srgbClr val="000000"/>
            </a:solidFill>
            <a:round/>
            <a:headEnd/>
            <a:tailEnd/>
          </a:ln>
        </xdr:spPr>
      </xdr:sp>
      <xdr:sp macro="" textlink="">
        <xdr:nvSpPr>
          <xdr:cNvPr id="68" name="AutoShape 423">
            <a:extLst>
              <a:ext uri="{FF2B5EF4-FFF2-40B4-BE49-F238E27FC236}">
                <a16:creationId xmlns:a16="http://schemas.microsoft.com/office/drawing/2014/main" xmlns="" id="{C2ECDB09-F201-0ED6-C7AC-4DB15A2393C4}"/>
              </a:ext>
            </a:extLst>
          </xdr:cNvPr>
          <xdr:cNvSpPr>
            <a:spLocks noChangeArrowheads="1"/>
          </xdr:cNvSpPr>
        </xdr:nvSpPr>
        <xdr:spPr bwMode="auto">
          <a:xfrm>
            <a:off x="475" y="627"/>
            <a:ext cx="11" cy="76"/>
          </a:xfrm>
          <a:prstGeom prst="roundRect">
            <a:avLst>
              <a:gd name="adj" fmla="val 16667"/>
            </a:avLst>
          </a:prstGeom>
          <a:solidFill>
            <a:srgbClr val="FFFFFF"/>
          </a:solidFill>
          <a:ln w="9525">
            <a:solidFill>
              <a:srgbClr val="000000"/>
            </a:solidFill>
            <a:round/>
            <a:headEnd/>
            <a:tailEnd/>
          </a:ln>
        </xdr:spPr>
      </xdr:sp>
      <xdr:sp macro="" textlink="">
        <xdr:nvSpPr>
          <xdr:cNvPr id="69" name="AutoShape 424">
            <a:extLst>
              <a:ext uri="{FF2B5EF4-FFF2-40B4-BE49-F238E27FC236}">
                <a16:creationId xmlns:a16="http://schemas.microsoft.com/office/drawing/2014/main" xmlns="" id="{8C1B5102-17AB-FB08-FDA1-A4F9F5FE5BF6}"/>
              </a:ext>
            </a:extLst>
          </xdr:cNvPr>
          <xdr:cNvSpPr>
            <a:spLocks noChangeArrowheads="1"/>
          </xdr:cNvSpPr>
        </xdr:nvSpPr>
        <xdr:spPr bwMode="auto">
          <a:xfrm>
            <a:off x="517" y="627"/>
            <a:ext cx="11" cy="76"/>
          </a:xfrm>
          <a:prstGeom prst="roundRect">
            <a:avLst>
              <a:gd name="adj" fmla="val 16667"/>
            </a:avLst>
          </a:prstGeom>
          <a:solidFill>
            <a:srgbClr val="FFFFFF"/>
          </a:solidFill>
          <a:ln w="9525">
            <a:solidFill>
              <a:srgbClr val="000000"/>
            </a:solidFill>
            <a:round/>
            <a:headEnd/>
            <a:tailEnd/>
          </a:ln>
        </xdr:spPr>
      </xdr:sp>
      <xdr:sp macro="" textlink="">
        <xdr:nvSpPr>
          <xdr:cNvPr id="70" name="AutoShape 425">
            <a:extLst>
              <a:ext uri="{FF2B5EF4-FFF2-40B4-BE49-F238E27FC236}">
                <a16:creationId xmlns:a16="http://schemas.microsoft.com/office/drawing/2014/main" xmlns="" id="{BE6A451A-AE1C-F61E-46EF-C31955C83CE6}"/>
              </a:ext>
            </a:extLst>
          </xdr:cNvPr>
          <xdr:cNvSpPr>
            <a:spLocks noChangeArrowheads="1"/>
          </xdr:cNvSpPr>
        </xdr:nvSpPr>
        <xdr:spPr bwMode="auto">
          <a:xfrm>
            <a:off x="559" y="627"/>
            <a:ext cx="11" cy="76"/>
          </a:xfrm>
          <a:prstGeom prst="roundRect">
            <a:avLst>
              <a:gd name="adj" fmla="val 16667"/>
            </a:avLst>
          </a:prstGeom>
          <a:solidFill>
            <a:srgbClr val="FFFFFF"/>
          </a:solidFill>
          <a:ln w="9525">
            <a:solidFill>
              <a:srgbClr val="000000"/>
            </a:solidFill>
            <a:round/>
            <a:headEnd/>
            <a:tailEnd/>
          </a:ln>
        </xdr:spPr>
      </xdr:sp>
      <xdr:sp macro="" textlink="">
        <xdr:nvSpPr>
          <xdr:cNvPr id="71" name="AutoShape 426">
            <a:extLst>
              <a:ext uri="{FF2B5EF4-FFF2-40B4-BE49-F238E27FC236}">
                <a16:creationId xmlns:a16="http://schemas.microsoft.com/office/drawing/2014/main" xmlns="" id="{0C2AE740-83CC-6AD6-2C72-326908100CD6}"/>
              </a:ext>
            </a:extLst>
          </xdr:cNvPr>
          <xdr:cNvSpPr>
            <a:spLocks noChangeArrowheads="1"/>
          </xdr:cNvSpPr>
        </xdr:nvSpPr>
        <xdr:spPr bwMode="auto">
          <a:xfrm>
            <a:off x="601" y="627"/>
            <a:ext cx="11" cy="76"/>
          </a:xfrm>
          <a:prstGeom prst="roundRect">
            <a:avLst>
              <a:gd name="adj" fmla="val 16667"/>
            </a:avLst>
          </a:prstGeom>
          <a:solidFill>
            <a:srgbClr val="FFFFFF"/>
          </a:solidFill>
          <a:ln w="9525">
            <a:solidFill>
              <a:srgbClr val="000000"/>
            </a:solidFill>
            <a:round/>
            <a:headEnd/>
            <a:tailEnd/>
          </a:ln>
        </xdr:spPr>
      </xdr:sp>
      <xdr:sp macro="" textlink="">
        <xdr:nvSpPr>
          <xdr:cNvPr id="72" name="AutoShape 427">
            <a:extLst>
              <a:ext uri="{FF2B5EF4-FFF2-40B4-BE49-F238E27FC236}">
                <a16:creationId xmlns:a16="http://schemas.microsoft.com/office/drawing/2014/main" xmlns="" id="{8E72C090-8C60-5BE8-3740-EE79C7C80CEC}"/>
              </a:ext>
            </a:extLst>
          </xdr:cNvPr>
          <xdr:cNvSpPr>
            <a:spLocks noChangeArrowheads="1"/>
          </xdr:cNvSpPr>
        </xdr:nvSpPr>
        <xdr:spPr bwMode="auto">
          <a:xfrm>
            <a:off x="643" y="627"/>
            <a:ext cx="11" cy="76"/>
          </a:xfrm>
          <a:prstGeom prst="roundRect">
            <a:avLst>
              <a:gd name="adj" fmla="val 16667"/>
            </a:avLst>
          </a:prstGeom>
          <a:solidFill>
            <a:srgbClr val="FFFFFF"/>
          </a:solidFill>
          <a:ln w="9525">
            <a:solidFill>
              <a:srgbClr val="000000"/>
            </a:solidFill>
            <a:round/>
            <a:headEnd/>
            <a:tailEnd/>
          </a:ln>
        </xdr:spPr>
      </xdr:sp>
      <xdr:sp macro="" textlink="">
        <xdr:nvSpPr>
          <xdr:cNvPr id="73" name="AutoShape 428">
            <a:extLst>
              <a:ext uri="{FF2B5EF4-FFF2-40B4-BE49-F238E27FC236}">
                <a16:creationId xmlns:a16="http://schemas.microsoft.com/office/drawing/2014/main" xmlns="" id="{ECC0CA88-75FA-0915-D48D-6A27D85EE891}"/>
              </a:ext>
            </a:extLst>
          </xdr:cNvPr>
          <xdr:cNvSpPr>
            <a:spLocks noChangeArrowheads="1"/>
          </xdr:cNvSpPr>
        </xdr:nvSpPr>
        <xdr:spPr bwMode="auto">
          <a:xfrm>
            <a:off x="685" y="627"/>
            <a:ext cx="11" cy="76"/>
          </a:xfrm>
          <a:prstGeom prst="roundRect">
            <a:avLst>
              <a:gd name="adj" fmla="val 16667"/>
            </a:avLst>
          </a:prstGeom>
          <a:solidFill>
            <a:srgbClr val="FFFFFF"/>
          </a:solidFill>
          <a:ln w="9525">
            <a:solidFill>
              <a:srgbClr val="000000"/>
            </a:solidFill>
            <a:round/>
            <a:headEnd/>
            <a:tailEnd/>
          </a:ln>
        </xdr:spPr>
      </xdr:sp>
      <xdr:sp macro="" textlink="">
        <xdr:nvSpPr>
          <xdr:cNvPr id="74" name="AutoShape 429">
            <a:extLst>
              <a:ext uri="{FF2B5EF4-FFF2-40B4-BE49-F238E27FC236}">
                <a16:creationId xmlns:a16="http://schemas.microsoft.com/office/drawing/2014/main" xmlns="" id="{E7236869-DE73-063C-4AFF-6BF025A8A4FB}"/>
              </a:ext>
            </a:extLst>
          </xdr:cNvPr>
          <xdr:cNvSpPr>
            <a:spLocks noChangeArrowheads="1"/>
          </xdr:cNvSpPr>
        </xdr:nvSpPr>
        <xdr:spPr bwMode="auto">
          <a:xfrm>
            <a:off x="727" y="627"/>
            <a:ext cx="11" cy="76"/>
          </a:xfrm>
          <a:prstGeom prst="roundRect">
            <a:avLst>
              <a:gd name="adj" fmla="val 16667"/>
            </a:avLst>
          </a:prstGeom>
          <a:solidFill>
            <a:srgbClr val="FFFFFF"/>
          </a:solidFill>
          <a:ln w="9525">
            <a:solidFill>
              <a:srgbClr val="000000"/>
            </a:solidFill>
            <a:round/>
            <a:headEnd/>
            <a:tailEnd/>
          </a:ln>
        </xdr:spPr>
      </xdr:sp>
      <xdr:sp macro="" textlink="">
        <xdr:nvSpPr>
          <xdr:cNvPr id="75" name="AutoShape 430">
            <a:extLst>
              <a:ext uri="{FF2B5EF4-FFF2-40B4-BE49-F238E27FC236}">
                <a16:creationId xmlns:a16="http://schemas.microsoft.com/office/drawing/2014/main" xmlns="" id="{CDA7983D-6932-1DD5-5927-531D2CBC32BA}"/>
              </a:ext>
            </a:extLst>
          </xdr:cNvPr>
          <xdr:cNvSpPr>
            <a:spLocks noChangeArrowheads="1"/>
          </xdr:cNvSpPr>
        </xdr:nvSpPr>
        <xdr:spPr bwMode="auto">
          <a:xfrm>
            <a:off x="769" y="627"/>
            <a:ext cx="11" cy="76"/>
          </a:xfrm>
          <a:prstGeom prst="roundRect">
            <a:avLst>
              <a:gd name="adj" fmla="val 16667"/>
            </a:avLst>
          </a:prstGeom>
          <a:solidFill>
            <a:srgbClr val="FFFFFF"/>
          </a:solidFill>
          <a:ln w="9525">
            <a:solidFill>
              <a:srgbClr val="000000"/>
            </a:solidFill>
            <a:round/>
            <a:headEnd/>
            <a:tailEnd/>
          </a:ln>
        </xdr:spPr>
      </xdr:sp>
    </xdr:grpSp>
    <xdr:clientData/>
  </xdr:twoCellAnchor>
  <xdr:twoCellAnchor>
    <xdr:from>
      <xdr:col>15</xdr:col>
      <xdr:colOff>76199</xdr:colOff>
      <xdr:row>49</xdr:row>
      <xdr:rowOff>136525</xdr:rowOff>
    </xdr:from>
    <xdr:to>
      <xdr:col>25</xdr:col>
      <xdr:colOff>9524</xdr:colOff>
      <xdr:row>51</xdr:row>
      <xdr:rowOff>54553</xdr:rowOff>
    </xdr:to>
    <xdr:grpSp>
      <xdr:nvGrpSpPr>
        <xdr:cNvPr id="76" name="Group 441">
          <a:extLst>
            <a:ext uri="{FF2B5EF4-FFF2-40B4-BE49-F238E27FC236}">
              <a16:creationId xmlns:a16="http://schemas.microsoft.com/office/drawing/2014/main" xmlns="" id="{3844E00C-8BB2-48BF-945E-D526674FD0C0}"/>
            </a:ext>
          </a:extLst>
        </xdr:cNvPr>
        <xdr:cNvGrpSpPr>
          <a:grpSpLocks/>
        </xdr:cNvGrpSpPr>
      </xdr:nvGrpSpPr>
      <xdr:grpSpPr bwMode="auto">
        <a:xfrm>
          <a:off x="2797628" y="9080954"/>
          <a:ext cx="1747610" cy="317170"/>
          <a:chOff x="441" y="627"/>
          <a:chExt cx="370" cy="76"/>
        </a:xfrm>
      </xdr:grpSpPr>
      <xdr:sp macro="" textlink="">
        <xdr:nvSpPr>
          <xdr:cNvPr id="77" name="AutoShape 442">
            <a:extLst>
              <a:ext uri="{FF2B5EF4-FFF2-40B4-BE49-F238E27FC236}">
                <a16:creationId xmlns:a16="http://schemas.microsoft.com/office/drawing/2014/main" xmlns="" id="{C5325CE8-AB68-9BBA-E324-EC176C0681E1}"/>
              </a:ext>
            </a:extLst>
          </xdr:cNvPr>
          <xdr:cNvSpPr>
            <a:spLocks noChangeArrowheads="1"/>
          </xdr:cNvSpPr>
        </xdr:nvSpPr>
        <xdr:spPr bwMode="auto">
          <a:xfrm flipV="1">
            <a:off x="441" y="660"/>
            <a:ext cx="370" cy="11"/>
          </a:xfrm>
          <a:prstGeom prst="roundRect">
            <a:avLst>
              <a:gd name="adj" fmla="val 16667"/>
            </a:avLst>
          </a:prstGeom>
          <a:solidFill>
            <a:srgbClr val="FFFFFF"/>
          </a:solidFill>
          <a:ln w="9525">
            <a:solidFill>
              <a:srgbClr val="000000"/>
            </a:solidFill>
            <a:round/>
            <a:headEnd/>
            <a:tailEnd/>
          </a:ln>
        </xdr:spPr>
      </xdr:sp>
      <xdr:sp macro="" textlink="">
        <xdr:nvSpPr>
          <xdr:cNvPr id="78" name="AutoShape 443">
            <a:extLst>
              <a:ext uri="{FF2B5EF4-FFF2-40B4-BE49-F238E27FC236}">
                <a16:creationId xmlns:a16="http://schemas.microsoft.com/office/drawing/2014/main" xmlns="" id="{827C676B-A43B-2988-E89C-0877D3E3D977}"/>
              </a:ext>
            </a:extLst>
          </xdr:cNvPr>
          <xdr:cNvSpPr>
            <a:spLocks noChangeArrowheads="1"/>
          </xdr:cNvSpPr>
        </xdr:nvSpPr>
        <xdr:spPr bwMode="auto">
          <a:xfrm>
            <a:off x="475" y="627"/>
            <a:ext cx="11" cy="76"/>
          </a:xfrm>
          <a:prstGeom prst="roundRect">
            <a:avLst>
              <a:gd name="adj" fmla="val 16667"/>
            </a:avLst>
          </a:prstGeom>
          <a:solidFill>
            <a:srgbClr val="FFFFFF"/>
          </a:solidFill>
          <a:ln w="9525">
            <a:solidFill>
              <a:srgbClr val="000000"/>
            </a:solidFill>
            <a:round/>
            <a:headEnd/>
            <a:tailEnd/>
          </a:ln>
        </xdr:spPr>
      </xdr:sp>
      <xdr:sp macro="" textlink="">
        <xdr:nvSpPr>
          <xdr:cNvPr id="79" name="AutoShape 444">
            <a:extLst>
              <a:ext uri="{FF2B5EF4-FFF2-40B4-BE49-F238E27FC236}">
                <a16:creationId xmlns:a16="http://schemas.microsoft.com/office/drawing/2014/main" xmlns="" id="{DEC828DF-CAF6-40B1-2BA1-9AA648E571D1}"/>
              </a:ext>
            </a:extLst>
          </xdr:cNvPr>
          <xdr:cNvSpPr>
            <a:spLocks noChangeArrowheads="1"/>
          </xdr:cNvSpPr>
        </xdr:nvSpPr>
        <xdr:spPr bwMode="auto">
          <a:xfrm>
            <a:off x="517" y="627"/>
            <a:ext cx="11" cy="76"/>
          </a:xfrm>
          <a:prstGeom prst="roundRect">
            <a:avLst>
              <a:gd name="adj" fmla="val 16667"/>
            </a:avLst>
          </a:prstGeom>
          <a:solidFill>
            <a:srgbClr val="FFFFFF"/>
          </a:solidFill>
          <a:ln w="9525">
            <a:solidFill>
              <a:srgbClr val="000000"/>
            </a:solidFill>
            <a:round/>
            <a:headEnd/>
            <a:tailEnd/>
          </a:ln>
        </xdr:spPr>
      </xdr:sp>
      <xdr:sp macro="" textlink="">
        <xdr:nvSpPr>
          <xdr:cNvPr id="80" name="AutoShape 445">
            <a:extLst>
              <a:ext uri="{FF2B5EF4-FFF2-40B4-BE49-F238E27FC236}">
                <a16:creationId xmlns:a16="http://schemas.microsoft.com/office/drawing/2014/main" xmlns="" id="{B7AE370B-8649-66D1-C790-946B2124AC51}"/>
              </a:ext>
            </a:extLst>
          </xdr:cNvPr>
          <xdr:cNvSpPr>
            <a:spLocks noChangeArrowheads="1"/>
          </xdr:cNvSpPr>
        </xdr:nvSpPr>
        <xdr:spPr bwMode="auto">
          <a:xfrm>
            <a:off x="559" y="627"/>
            <a:ext cx="11" cy="76"/>
          </a:xfrm>
          <a:prstGeom prst="roundRect">
            <a:avLst>
              <a:gd name="adj" fmla="val 16667"/>
            </a:avLst>
          </a:prstGeom>
          <a:solidFill>
            <a:srgbClr val="FFFFFF"/>
          </a:solidFill>
          <a:ln w="9525">
            <a:solidFill>
              <a:srgbClr val="000000"/>
            </a:solidFill>
            <a:round/>
            <a:headEnd/>
            <a:tailEnd/>
          </a:ln>
        </xdr:spPr>
      </xdr:sp>
      <xdr:sp macro="" textlink="">
        <xdr:nvSpPr>
          <xdr:cNvPr id="81" name="AutoShape 446">
            <a:extLst>
              <a:ext uri="{FF2B5EF4-FFF2-40B4-BE49-F238E27FC236}">
                <a16:creationId xmlns:a16="http://schemas.microsoft.com/office/drawing/2014/main" xmlns="" id="{3F4C21C9-77C1-9B84-83A6-FB6B448621C0}"/>
              </a:ext>
            </a:extLst>
          </xdr:cNvPr>
          <xdr:cNvSpPr>
            <a:spLocks noChangeArrowheads="1"/>
          </xdr:cNvSpPr>
        </xdr:nvSpPr>
        <xdr:spPr bwMode="auto">
          <a:xfrm>
            <a:off x="601" y="627"/>
            <a:ext cx="11" cy="76"/>
          </a:xfrm>
          <a:prstGeom prst="roundRect">
            <a:avLst>
              <a:gd name="adj" fmla="val 16667"/>
            </a:avLst>
          </a:prstGeom>
          <a:solidFill>
            <a:srgbClr val="FFFFFF"/>
          </a:solidFill>
          <a:ln w="9525">
            <a:solidFill>
              <a:srgbClr val="000000"/>
            </a:solidFill>
            <a:round/>
            <a:headEnd/>
            <a:tailEnd/>
          </a:ln>
        </xdr:spPr>
      </xdr:sp>
      <xdr:sp macro="" textlink="">
        <xdr:nvSpPr>
          <xdr:cNvPr id="82" name="AutoShape 447">
            <a:extLst>
              <a:ext uri="{FF2B5EF4-FFF2-40B4-BE49-F238E27FC236}">
                <a16:creationId xmlns:a16="http://schemas.microsoft.com/office/drawing/2014/main" xmlns="" id="{ABDB7B2D-89E2-00EF-01A5-3FB60CE6AD2F}"/>
              </a:ext>
            </a:extLst>
          </xdr:cNvPr>
          <xdr:cNvSpPr>
            <a:spLocks noChangeArrowheads="1"/>
          </xdr:cNvSpPr>
        </xdr:nvSpPr>
        <xdr:spPr bwMode="auto">
          <a:xfrm>
            <a:off x="643" y="627"/>
            <a:ext cx="11" cy="76"/>
          </a:xfrm>
          <a:prstGeom prst="roundRect">
            <a:avLst>
              <a:gd name="adj" fmla="val 16667"/>
            </a:avLst>
          </a:prstGeom>
          <a:solidFill>
            <a:srgbClr val="FFFFFF"/>
          </a:solidFill>
          <a:ln w="9525">
            <a:solidFill>
              <a:srgbClr val="000000"/>
            </a:solidFill>
            <a:round/>
            <a:headEnd/>
            <a:tailEnd/>
          </a:ln>
        </xdr:spPr>
      </xdr:sp>
      <xdr:sp macro="" textlink="">
        <xdr:nvSpPr>
          <xdr:cNvPr id="83" name="AutoShape 448">
            <a:extLst>
              <a:ext uri="{FF2B5EF4-FFF2-40B4-BE49-F238E27FC236}">
                <a16:creationId xmlns:a16="http://schemas.microsoft.com/office/drawing/2014/main" xmlns="" id="{0A7728A7-5DB7-B496-DA93-4485C79F2E05}"/>
              </a:ext>
            </a:extLst>
          </xdr:cNvPr>
          <xdr:cNvSpPr>
            <a:spLocks noChangeArrowheads="1"/>
          </xdr:cNvSpPr>
        </xdr:nvSpPr>
        <xdr:spPr bwMode="auto">
          <a:xfrm>
            <a:off x="685" y="627"/>
            <a:ext cx="11" cy="76"/>
          </a:xfrm>
          <a:prstGeom prst="roundRect">
            <a:avLst>
              <a:gd name="adj" fmla="val 16667"/>
            </a:avLst>
          </a:prstGeom>
          <a:solidFill>
            <a:srgbClr val="FFFFFF"/>
          </a:solidFill>
          <a:ln w="9525">
            <a:solidFill>
              <a:srgbClr val="000000"/>
            </a:solidFill>
            <a:round/>
            <a:headEnd/>
            <a:tailEnd/>
          </a:ln>
        </xdr:spPr>
      </xdr:sp>
      <xdr:sp macro="" textlink="">
        <xdr:nvSpPr>
          <xdr:cNvPr id="84" name="AutoShape 449">
            <a:extLst>
              <a:ext uri="{FF2B5EF4-FFF2-40B4-BE49-F238E27FC236}">
                <a16:creationId xmlns:a16="http://schemas.microsoft.com/office/drawing/2014/main" xmlns="" id="{5983793D-6DC2-7062-18A4-171433E0C72D}"/>
              </a:ext>
            </a:extLst>
          </xdr:cNvPr>
          <xdr:cNvSpPr>
            <a:spLocks noChangeArrowheads="1"/>
          </xdr:cNvSpPr>
        </xdr:nvSpPr>
        <xdr:spPr bwMode="auto">
          <a:xfrm>
            <a:off x="727" y="627"/>
            <a:ext cx="11" cy="76"/>
          </a:xfrm>
          <a:prstGeom prst="roundRect">
            <a:avLst>
              <a:gd name="adj" fmla="val 16667"/>
            </a:avLst>
          </a:prstGeom>
          <a:solidFill>
            <a:srgbClr val="FFFFFF"/>
          </a:solidFill>
          <a:ln w="9525">
            <a:solidFill>
              <a:srgbClr val="000000"/>
            </a:solidFill>
            <a:round/>
            <a:headEnd/>
            <a:tailEnd/>
          </a:ln>
        </xdr:spPr>
      </xdr:sp>
      <xdr:sp macro="" textlink="">
        <xdr:nvSpPr>
          <xdr:cNvPr id="85" name="AutoShape 450">
            <a:extLst>
              <a:ext uri="{FF2B5EF4-FFF2-40B4-BE49-F238E27FC236}">
                <a16:creationId xmlns:a16="http://schemas.microsoft.com/office/drawing/2014/main" xmlns="" id="{5E4EC300-D5D8-7C0A-BC8E-E8A8FFCDE04C}"/>
              </a:ext>
            </a:extLst>
          </xdr:cNvPr>
          <xdr:cNvSpPr>
            <a:spLocks noChangeArrowheads="1"/>
          </xdr:cNvSpPr>
        </xdr:nvSpPr>
        <xdr:spPr bwMode="auto">
          <a:xfrm>
            <a:off x="769" y="627"/>
            <a:ext cx="11" cy="76"/>
          </a:xfrm>
          <a:prstGeom prst="roundRect">
            <a:avLst>
              <a:gd name="adj" fmla="val 16667"/>
            </a:avLst>
          </a:prstGeom>
          <a:solidFill>
            <a:srgbClr val="FFFFFF"/>
          </a:solidFill>
          <a:ln w="9525">
            <a:solidFill>
              <a:srgbClr val="000000"/>
            </a:solidFill>
            <a:round/>
            <a:headEnd/>
            <a:tailEnd/>
          </a:ln>
        </xdr:spPr>
      </xdr:sp>
    </xdr:grpSp>
    <xdr:clientData/>
  </xdr:twoCellAnchor>
  <xdr:twoCellAnchor>
    <xdr:from>
      <xdr:col>16</xdr:col>
      <xdr:colOff>63500</xdr:colOff>
      <xdr:row>52</xdr:row>
      <xdr:rowOff>146049</xdr:rowOff>
    </xdr:from>
    <xdr:to>
      <xdr:col>22</xdr:col>
      <xdr:colOff>76200</xdr:colOff>
      <xdr:row>55</xdr:row>
      <xdr:rowOff>35502</xdr:rowOff>
    </xdr:to>
    <xdr:sp macro="" textlink="">
      <xdr:nvSpPr>
        <xdr:cNvPr id="86" name="Rectangle 471">
          <a:extLst>
            <a:ext uri="{FF2B5EF4-FFF2-40B4-BE49-F238E27FC236}">
              <a16:creationId xmlns:a16="http://schemas.microsoft.com/office/drawing/2014/main" xmlns="" id="{DBF07753-3B38-4407-8D55-0083E442AE6C}"/>
            </a:ext>
          </a:extLst>
        </xdr:cNvPr>
        <xdr:cNvSpPr>
          <a:spLocks noChangeArrowheads="1"/>
        </xdr:cNvSpPr>
      </xdr:nvSpPr>
      <xdr:spPr bwMode="auto">
        <a:xfrm>
          <a:off x="3019136" y="9520958"/>
          <a:ext cx="1121064" cy="478271"/>
        </a:xfrm>
        <a:prstGeom prst="rect">
          <a:avLst/>
        </a:prstGeom>
        <a:solidFill>
          <a:sysClr val="window" lastClr="FFFFFF"/>
        </a:solidFill>
        <a:ln w="9525">
          <a:solidFill>
            <a:srgbClr val="000000"/>
          </a:solidFill>
          <a:miter lim="800000"/>
          <a:headEnd/>
          <a:tailEnd/>
        </a:ln>
      </xdr:spPr>
      <xdr:txBody>
        <a:bodyPr anchor="ctr"/>
        <a:lstStyle/>
        <a:p>
          <a:pPr algn="ctr"/>
          <a:r>
            <a:rPr lang="ja-JP" altLang="en-US">
              <a:solidFill>
                <a:sysClr val="windowText" lastClr="000000"/>
              </a:solidFill>
            </a:rPr>
            <a:t>出荷チェック</a:t>
          </a:r>
          <a:endParaRPr lang="en-US" altLang="ja-JP">
            <a:solidFill>
              <a:sysClr val="windowText" lastClr="000000"/>
            </a:solidFill>
          </a:endParaRPr>
        </a:p>
      </xdr:txBody>
    </xdr:sp>
    <xdr:clientData/>
  </xdr:twoCellAnchor>
  <xdr:twoCellAnchor>
    <xdr:from>
      <xdr:col>4</xdr:col>
      <xdr:colOff>6349</xdr:colOff>
      <xdr:row>49</xdr:row>
      <xdr:rowOff>111703</xdr:rowOff>
    </xdr:from>
    <xdr:to>
      <xdr:col>13</xdr:col>
      <xdr:colOff>171449</xdr:colOff>
      <xdr:row>51</xdr:row>
      <xdr:rowOff>35503</xdr:rowOff>
    </xdr:to>
    <xdr:grpSp>
      <xdr:nvGrpSpPr>
        <xdr:cNvPr id="87" name="Group 472">
          <a:extLst>
            <a:ext uri="{FF2B5EF4-FFF2-40B4-BE49-F238E27FC236}">
              <a16:creationId xmlns:a16="http://schemas.microsoft.com/office/drawing/2014/main" xmlns="" id="{528F0D66-5C5C-454B-819E-1790AEF89AAD}"/>
            </a:ext>
          </a:extLst>
        </xdr:cNvPr>
        <xdr:cNvGrpSpPr>
          <a:grpSpLocks/>
        </xdr:cNvGrpSpPr>
      </xdr:nvGrpSpPr>
      <xdr:grpSpPr bwMode="auto">
        <a:xfrm>
          <a:off x="732063" y="9056132"/>
          <a:ext cx="1797957" cy="322942"/>
          <a:chOff x="441" y="627"/>
          <a:chExt cx="370" cy="76"/>
        </a:xfrm>
      </xdr:grpSpPr>
      <xdr:sp macro="" textlink="">
        <xdr:nvSpPr>
          <xdr:cNvPr id="88" name="AutoShape 473">
            <a:extLst>
              <a:ext uri="{FF2B5EF4-FFF2-40B4-BE49-F238E27FC236}">
                <a16:creationId xmlns:a16="http://schemas.microsoft.com/office/drawing/2014/main" xmlns="" id="{4B1D1F5B-8473-0780-A45D-ED8BDE48293C}"/>
              </a:ext>
            </a:extLst>
          </xdr:cNvPr>
          <xdr:cNvSpPr>
            <a:spLocks noChangeArrowheads="1"/>
          </xdr:cNvSpPr>
        </xdr:nvSpPr>
        <xdr:spPr bwMode="auto">
          <a:xfrm flipV="1">
            <a:off x="441" y="660"/>
            <a:ext cx="370" cy="11"/>
          </a:xfrm>
          <a:prstGeom prst="roundRect">
            <a:avLst>
              <a:gd name="adj" fmla="val 16667"/>
            </a:avLst>
          </a:prstGeom>
          <a:solidFill>
            <a:srgbClr val="FFFFFF"/>
          </a:solidFill>
          <a:ln w="9525">
            <a:solidFill>
              <a:srgbClr val="000000"/>
            </a:solidFill>
            <a:round/>
            <a:headEnd/>
            <a:tailEnd/>
          </a:ln>
        </xdr:spPr>
      </xdr:sp>
      <xdr:sp macro="" textlink="">
        <xdr:nvSpPr>
          <xdr:cNvPr id="89" name="AutoShape 474">
            <a:extLst>
              <a:ext uri="{FF2B5EF4-FFF2-40B4-BE49-F238E27FC236}">
                <a16:creationId xmlns:a16="http://schemas.microsoft.com/office/drawing/2014/main" xmlns="" id="{5B5EE321-2CED-47F0-486C-86EDE0034096}"/>
              </a:ext>
            </a:extLst>
          </xdr:cNvPr>
          <xdr:cNvSpPr>
            <a:spLocks noChangeArrowheads="1"/>
          </xdr:cNvSpPr>
        </xdr:nvSpPr>
        <xdr:spPr bwMode="auto">
          <a:xfrm>
            <a:off x="475" y="627"/>
            <a:ext cx="11" cy="76"/>
          </a:xfrm>
          <a:prstGeom prst="roundRect">
            <a:avLst>
              <a:gd name="adj" fmla="val 16667"/>
            </a:avLst>
          </a:prstGeom>
          <a:solidFill>
            <a:srgbClr val="FFFFFF"/>
          </a:solidFill>
          <a:ln w="9525">
            <a:solidFill>
              <a:srgbClr val="000000"/>
            </a:solidFill>
            <a:round/>
            <a:headEnd/>
            <a:tailEnd/>
          </a:ln>
        </xdr:spPr>
      </xdr:sp>
      <xdr:sp macro="" textlink="">
        <xdr:nvSpPr>
          <xdr:cNvPr id="90" name="AutoShape 475">
            <a:extLst>
              <a:ext uri="{FF2B5EF4-FFF2-40B4-BE49-F238E27FC236}">
                <a16:creationId xmlns:a16="http://schemas.microsoft.com/office/drawing/2014/main" xmlns="" id="{2F61BB11-6331-9391-E7CE-698933F4D2E9}"/>
              </a:ext>
            </a:extLst>
          </xdr:cNvPr>
          <xdr:cNvSpPr>
            <a:spLocks noChangeArrowheads="1"/>
          </xdr:cNvSpPr>
        </xdr:nvSpPr>
        <xdr:spPr bwMode="auto">
          <a:xfrm>
            <a:off x="517" y="627"/>
            <a:ext cx="11" cy="76"/>
          </a:xfrm>
          <a:prstGeom prst="roundRect">
            <a:avLst>
              <a:gd name="adj" fmla="val 16667"/>
            </a:avLst>
          </a:prstGeom>
          <a:solidFill>
            <a:srgbClr val="FFFFFF"/>
          </a:solidFill>
          <a:ln w="9525">
            <a:solidFill>
              <a:srgbClr val="000000"/>
            </a:solidFill>
            <a:round/>
            <a:headEnd/>
            <a:tailEnd/>
          </a:ln>
        </xdr:spPr>
      </xdr:sp>
      <xdr:sp macro="" textlink="">
        <xdr:nvSpPr>
          <xdr:cNvPr id="91" name="AutoShape 476">
            <a:extLst>
              <a:ext uri="{FF2B5EF4-FFF2-40B4-BE49-F238E27FC236}">
                <a16:creationId xmlns:a16="http://schemas.microsoft.com/office/drawing/2014/main" xmlns="" id="{9AF6D05B-EF16-94E8-599A-F60277C35741}"/>
              </a:ext>
            </a:extLst>
          </xdr:cNvPr>
          <xdr:cNvSpPr>
            <a:spLocks noChangeArrowheads="1"/>
          </xdr:cNvSpPr>
        </xdr:nvSpPr>
        <xdr:spPr bwMode="auto">
          <a:xfrm>
            <a:off x="559" y="627"/>
            <a:ext cx="11" cy="76"/>
          </a:xfrm>
          <a:prstGeom prst="roundRect">
            <a:avLst>
              <a:gd name="adj" fmla="val 16667"/>
            </a:avLst>
          </a:prstGeom>
          <a:solidFill>
            <a:srgbClr val="FFFFFF"/>
          </a:solidFill>
          <a:ln w="9525">
            <a:solidFill>
              <a:srgbClr val="000000"/>
            </a:solidFill>
            <a:round/>
            <a:headEnd/>
            <a:tailEnd/>
          </a:ln>
        </xdr:spPr>
      </xdr:sp>
      <xdr:sp macro="" textlink="">
        <xdr:nvSpPr>
          <xdr:cNvPr id="92" name="AutoShape 477">
            <a:extLst>
              <a:ext uri="{FF2B5EF4-FFF2-40B4-BE49-F238E27FC236}">
                <a16:creationId xmlns:a16="http://schemas.microsoft.com/office/drawing/2014/main" xmlns="" id="{7E3EC32A-0589-B9BE-FA4B-A8C85F497AB4}"/>
              </a:ext>
            </a:extLst>
          </xdr:cNvPr>
          <xdr:cNvSpPr>
            <a:spLocks noChangeArrowheads="1"/>
          </xdr:cNvSpPr>
        </xdr:nvSpPr>
        <xdr:spPr bwMode="auto">
          <a:xfrm>
            <a:off x="601" y="627"/>
            <a:ext cx="11" cy="76"/>
          </a:xfrm>
          <a:prstGeom prst="roundRect">
            <a:avLst>
              <a:gd name="adj" fmla="val 16667"/>
            </a:avLst>
          </a:prstGeom>
          <a:solidFill>
            <a:srgbClr val="FFFFFF"/>
          </a:solidFill>
          <a:ln w="9525">
            <a:solidFill>
              <a:srgbClr val="000000"/>
            </a:solidFill>
            <a:round/>
            <a:headEnd/>
            <a:tailEnd/>
          </a:ln>
        </xdr:spPr>
      </xdr:sp>
      <xdr:sp macro="" textlink="">
        <xdr:nvSpPr>
          <xdr:cNvPr id="93" name="AutoShape 478">
            <a:extLst>
              <a:ext uri="{FF2B5EF4-FFF2-40B4-BE49-F238E27FC236}">
                <a16:creationId xmlns:a16="http://schemas.microsoft.com/office/drawing/2014/main" xmlns="" id="{E6CF06BB-CBF2-C207-8565-DD84AA3D7CC6}"/>
              </a:ext>
            </a:extLst>
          </xdr:cNvPr>
          <xdr:cNvSpPr>
            <a:spLocks noChangeArrowheads="1"/>
          </xdr:cNvSpPr>
        </xdr:nvSpPr>
        <xdr:spPr bwMode="auto">
          <a:xfrm>
            <a:off x="643" y="627"/>
            <a:ext cx="11" cy="76"/>
          </a:xfrm>
          <a:prstGeom prst="roundRect">
            <a:avLst>
              <a:gd name="adj" fmla="val 16667"/>
            </a:avLst>
          </a:prstGeom>
          <a:solidFill>
            <a:srgbClr val="FFFFFF"/>
          </a:solidFill>
          <a:ln w="9525">
            <a:solidFill>
              <a:srgbClr val="000000"/>
            </a:solidFill>
            <a:round/>
            <a:headEnd/>
            <a:tailEnd/>
          </a:ln>
        </xdr:spPr>
      </xdr:sp>
      <xdr:sp macro="" textlink="">
        <xdr:nvSpPr>
          <xdr:cNvPr id="94" name="AutoShape 479">
            <a:extLst>
              <a:ext uri="{FF2B5EF4-FFF2-40B4-BE49-F238E27FC236}">
                <a16:creationId xmlns:a16="http://schemas.microsoft.com/office/drawing/2014/main" xmlns="" id="{19E75954-AD38-04F4-DDAE-6A99C853568D}"/>
              </a:ext>
            </a:extLst>
          </xdr:cNvPr>
          <xdr:cNvSpPr>
            <a:spLocks noChangeArrowheads="1"/>
          </xdr:cNvSpPr>
        </xdr:nvSpPr>
        <xdr:spPr bwMode="auto">
          <a:xfrm>
            <a:off x="685" y="627"/>
            <a:ext cx="11" cy="76"/>
          </a:xfrm>
          <a:prstGeom prst="roundRect">
            <a:avLst>
              <a:gd name="adj" fmla="val 16667"/>
            </a:avLst>
          </a:prstGeom>
          <a:solidFill>
            <a:srgbClr val="FFFFFF"/>
          </a:solidFill>
          <a:ln w="9525">
            <a:solidFill>
              <a:srgbClr val="000000"/>
            </a:solidFill>
            <a:round/>
            <a:headEnd/>
            <a:tailEnd/>
          </a:ln>
        </xdr:spPr>
      </xdr:sp>
      <xdr:sp macro="" textlink="">
        <xdr:nvSpPr>
          <xdr:cNvPr id="95" name="AutoShape 480">
            <a:extLst>
              <a:ext uri="{FF2B5EF4-FFF2-40B4-BE49-F238E27FC236}">
                <a16:creationId xmlns:a16="http://schemas.microsoft.com/office/drawing/2014/main" xmlns="" id="{6E9264F7-E135-3F2A-2E44-200FBFA3B326}"/>
              </a:ext>
            </a:extLst>
          </xdr:cNvPr>
          <xdr:cNvSpPr>
            <a:spLocks noChangeArrowheads="1"/>
          </xdr:cNvSpPr>
        </xdr:nvSpPr>
        <xdr:spPr bwMode="auto">
          <a:xfrm>
            <a:off x="727" y="627"/>
            <a:ext cx="11" cy="76"/>
          </a:xfrm>
          <a:prstGeom prst="roundRect">
            <a:avLst>
              <a:gd name="adj" fmla="val 16667"/>
            </a:avLst>
          </a:prstGeom>
          <a:solidFill>
            <a:srgbClr val="FFFFFF"/>
          </a:solidFill>
          <a:ln w="9525">
            <a:solidFill>
              <a:srgbClr val="000000"/>
            </a:solidFill>
            <a:round/>
            <a:headEnd/>
            <a:tailEnd/>
          </a:ln>
        </xdr:spPr>
      </xdr:sp>
      <xdr:sp macro="" textlink="">
        <xdr:nvSpPr>
          <xdr:cNvPr id="96" name="AutoShape 481">
            <a:extLst>
              <a:ext uri="{FF2B5EF4-FFF2-40B4-BE49-F238E27FC236}">
                <a16:creationId xmlns:a16="http://schemas.microsoft.com/office/drawing/2014/main" xmlns="" id="{F3487DBA-1530-2477-0951-5EA42BFC1DBA}"/>
              </a:ext>
            </a:extLst>
          </xdr:cNvPr>
          <xdr:cNvSpPr>
            <a:spLocks noChangeArrowheads="1"/>
          </xdr:cNvSpPr>
        </xdr:nvSpPr>
        <xdr:spPr bwMode="auto">
          <a:xfrm>
            <a:off x="769" y="627"/>
            <a:ext cx="11" cy="76"/>
          </a:xfrm>
          <a:prstGeom prst="roundRect">
            <a:avLst>
              <a:gd name="adj" fmla="val 16667"/>
            </a:avLst>
          </a:prstGeom>
          <a:solidFill>
            <a:srgbClr val="FFFFFF"/>
          </a:solidFill>
          <a:ln w="9525">
            <a:solidFill>
              <a:srgbClr val="000000"/>
            </a:solidFill>
            <a:round/>
            <a:headEnd/>
            <a:tailEnd/>
          </a:ln>
        </xdr:spPr>
      </xdr:sp>
    </xdr:grpSp>
    <xdr:clientData/>
  </xdr:twoCellAnchor>
  <xdr:twoCellAnchor>
    <xdr:from>
      <xdr:col>21</xdr:col>
      <xdr:colOff>50800</xdr:colOff>
      <xdr:row>57</xdr:row>
      <xdr:rowOff>130175</xdr:rowOff>
    </xdr:from>
    <xdr:to>
      <xdr:col>24</xdr:col>
      <xdr:colOff>184500</xdr:colOff>
      <xdr:row>58</xdr:row>
      <xdr:rowOff>187326</xdr:rowOff>
    </xdr:to>
    <xdr:sp macro="" textlink="">
      <xdr:nvSpPr>
        <xdr:cNvPr id="97" name="Text Box 482">
          <a:extLst>
            <a:ext uri="{FF2B5EF4-FFF2-40B4-BE49-F238E27FC236}">
              <a16:creationId xmlns:a16="http://schemas.microsoft.com/office/drawing/2014/main" xmlns="" id="{891BD91D-22BA-4CAB-A53F-3A36E16B2B6D}"/>
            </a:ext>
          </a:extLst>
        </xdr:cNvPr>
        <xdr:cNvSpPr txBox="1">
          <a:spLocks noChangeArrowheads="1"/>
        </xdr:cNvSpPr>
      </xdr:nvSpPr>
      <xdr:spPr bwMode="auto">
        <a:xfrm>
          <a:off x="3930073" y="10486448"/>
          <a:ext cx="687882" cy="253423"/>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200" b="0" i="0" u="none" strike="noStrike" baseline="0">
              <a:solidFill>
                <a:srgbClr val="000000"/>
              </a:solidFill>
              <a:latin typeface="ＭＳ Ｐゴシック"/>
              <a:ea typeface="ＭＳ Ｐゴシック"/>
            </a:rPr>
            <a:t>ストアー</a:t>
          </a:r>
        </a:p>
      </xdr:txBody>
    </xdr:sp>
    <xdr:clientData/>
  </xdr:twoCellAnchor>
  <xdr:twoCellAnchor>
    <xdr:from>
      <xdr:col>10</xdr:col>
      <xdr:colOff>95250</xdr:colOff>
      <xdr:row>72</xdr:row>
      <xdr:rowOff>73602</xdr:rowOff>
    </xdr:from>
    <xdr:to>
      <xdr:col>17</xdr:col>
      <xdr:colOff>47625</xdr:colOff>
      <xdr:row>74</xdr:row>
      <xdr:rowOff>83128</xdr:rowOff>
    </xdr:to>
    <xdr:sp macro="" textlink="">
      <xdr:nvSpPr>
        <xdr:cNvPr id="98" name="Text Box 516">
          <a:extLst>
            <a:ext uri="{FF2B5EF4-FFF2-40B4-BE49-F238E27FC236}">
              <a16:creationId xmlns:a16="http://schemas.microsoft.com/office/drawing/2014/main" xmlns="" id="{A54D8E76-A99F-42B8-8DB1-4ABE4E08606D}"/>
            </a:ext>
          </a:extLst>
        </xdr:cNvPr>
        <xdr:cNvSpPr txBox="1">
          <a:spLocks noChangeArrowheads="1"/>
        </xdr:cNvSpPr>
      </xdr:nvSpPr>
      <xdr:spPr bwMode="auto">
        <a:xfrm>
          <a:off x="1942523" y="13373966"/>
          <a:ext cx="1245466" cy="402071"/>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400" b="0" i="0" u="none" strike="noStrike" baseline="0">
              <a:solidFill>
                <a:srgbClr val="000000"/>
              </a:solidFill>
              <a:latin typeface="ＭＳ Ｐゴシック"/>
              <a:ea typeface="ＭＳ Ｐゴシック"/>
            </a:rPr>
            <a:t>外注払い出し場</a:t>
          </a:r>
        </a:p>
      </xdr:txBody>
    </xdr:sp>
    <xdr:clientData/>
  </xdr:twoCellAnchor>
  <xdr:twoCellAnchor>
    <xdr:from>
      <xdr:col>10</xdr:col>
      <xdr:colOff>66675</xdr:colOff>
      <xdr:row>60</xdr:row>
      <xdr:rowOff>127000</xdr:rowOff>
    </xdr:from>
    <xdr:to>
      <xdr:col>17</xdr:col>
      <xdr:colOff>57150</xdr:colOff>
      <xdr:row>61</xdr:row>
      <xdr:rowOff>174625</xdr:rowOff>
    </xdr:to>
    <xdr:sp macro="" textlink="">
      <xdr:nvSpPr>
        <xdr:cNvPr id="99" name="Text Box 517">
          <a:extLst>
            <a:ext uri="{FF2B5EF4-FFF2-40B4-BE49-F238E27FC236}">
              <a16:creationId xmlns:a16="http://schemas.microsoft.com/office/drawing/2014/main" xmlns="" id="{470F7A3C-52EC-4A64-94A3-4C1B2C901D4E}"/>
            </a:ext>
          </a:extLst>
        </xdr:cNvPr>
        <xdr:cNvSpPr txBox="1">
          <a:spLocks noChangeArrowheads="1"/>
        </xdr:cNvSpPr>
      </xdr:nvSpPr>
      <xdr:spPr bwMode="auto">
        <a:xfrm>
          <a:off x="1913948" y="11072091"/>
          <a:ext cx="1283566" cy="243898"/>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400" b="0" i="0" u="none" strike="noStrike" baseline="0">
              <a:solidFill>
                <a:srgbClr val="000000"/>
              </a:solidFill>
              <a:latin typeface="ＭＳ Ｐゴシック"/>
              <a:ea typeface="ＭＳ Ｐゴシック"/>
            </a:rPr>
            <a:t>外注払い出し場</a:t>
          </a:r>
        </a:p>
      </xdr:txBody>
    </xdr:sp>
    <xdr:clientData/>
  </xdr:twoCellAnchor>
  <xdr:twoCellAnchor>
    <xdr:from>
      <xdr:col>29</xdr:col>
      <xdr:colOff>66675</xdr:colOff>
      <xdr:row>49</xdr:row>
      <xdr:rowOff>16453</xdr:rowOff>
    </xdr:from>
    <xdr:to>
      <xdr:col>29</xdr:col>
      <xdr:colOff>66675</xdr:colOff>
      <xdr:row>68</xdr:row>
      <xdr:rowOff>102177</xdr:rowOff>
    </xdr:to>
    <xdr:sp macro="" textlink="">
      <xdr:nvSpPr>
        <xdr:cNvPr id="100" name="Line 519">
          <a:extLst>
            <a:ext uri="{FF2B5EF4-FFF2-40B4-BE49-F238E27FC236}">
              <a16:creationId xmlns:a16="http://schemas.microsoft.com/office/drawing/2014/main" xmlns="" id="{F3C1AD34-42B9-4AC5-A5FD-FEFA33C97B72}"/>
            </a:ext>
          </a:extLst>
        </xdr:cNvPr>
        <xdr:cNvSpPr>
          <a:spLocks noChangeShapeType="1"/>
        </xdr:cNvSpPr>
      </xdr:nvSpPr>
      <xdr:spPr bwMode="auto">
        <a:xfrm>
          <a:off x="5423766" y="8802544"/>
          <a:ext cx="0" cy="3814906"/>
        </a:xfrm>
        <a:prstGeom prst="line">
          <a:avLst/>
        </a:prstGeom>
        <a:noFill/>
        <a:ln w="9525">
          <a:solidFill>
            <a:srgbClr val="000000"/>
          </a:solidFill>
          <a:round/>
          <a:headEnd/>
          <a:tailEnd/>
        </a:ln>
      </xdr:spPr>
    </xdr:sp>
    <xdr:clientData/>
  </xdr:twoCellAnchor>
  <xdr:twoCellAnchor>
    <xdr:from>
      <xdr:col>29</xdr:col>
      <xdr:colOff>28575</xdr:colOff>
      <xdr:row>65</xdr:row>
      <xdr:rowOff>92652</xdr:rowOff>
    </xdr:from>
    <xdr:to>
      <xdr:col>29</xdr:col>
      <xdr:colOff>28575</xdr:colOff>
      <xdr:row>89</xdr:row>
      <xdr:rowOff>83128</xdr:rowOff>
    </xdr:to>
    <xdr:sp macro="" textlink="">
      <xdr:nvSpPr>
        <xdr:cNvPr id="101" name="Line 520">
          <a:extLst>
            <a:ext uri="{FF2B5EF4-FFF2-40B4-BE49-F238E27FC236}">
              <a16:creationId xmlns:a16="http://schemas.microsoft.com/office/drawing/2014/main" xmlns="" id="{DAE7F76A-1D6F-4FEF-A3C4-5D49FC9E9D73}"/>
            </a:ext>
          </a:extLst>
        </xdr:cNvPr>
        <xdr:cNvSpPr>
          <a:spLocks noChangeShapeType="1"/>
        </xdr:cNvSpPr>
      </xdr:nvSpPr>
      <xdr:spPr bwMode="auto">
        <a:xfrm>
          <a:off x="5385666" y="12019107"/>
          <a:ext cx="0" cy="4701021"/>
        </a:xfrm>
        <a:prstGeom prst="line">
          <a:avLst/>
        </a:prstGeom>
        <a:noFill/>
        <a:ln w="9525">
          <a:solidFill>
            <a:srgbClr val="000000"/>
          </a:solidFill>
          <a:round/>
          <a:headEnd/>
          <a:tailEnd/>
        </a:ln>
      </xdr:spPr>
    </xdr:sp>
    <xdr:clientData/>
  </xdr:twoCellAnchor>
  <xdr:twoCellAnchor>
    <xdr:from>
      <xdr:col>28</xdr:col>
      <xdr:colOff>95250</xdr:colOff>
      <xdr:row>67</xdr:row>
      <xdr:rowOff>16453</xdr:rowOff>
    </xdr:from>
    <xdr:to>
      <xdr:col>30</xdr:col>
      <xdr:colOff>9525</xdr:colOff>
      <xdr:row>67</xdr:row>
      <xdr:rowOff>16453</xdr:rowOff>
    </xdr:to>
    <xdr:sp macro="" textlink="">
      <xdr:nvSpPr>
        <xdr:cNvPr id="102" name="Line 522">
          <a:extLst>
            <a:ext uri="{FF2B5EF4-FFF2-40B4-BE49-F238E27FC236}">
              <a16:creationId xmlns:a16="http://schemas.microsoft.com/office/drawing/2014/main" xmlns="" id="{D0539E6B-00E3-47D9-84A4-714F3391DF3C}"/>
            </a:ext>
          </a:extLst>
        </xdr:cNvPr>
        <xdr:cNvSpPr>
          <a:spLocks noChangeShapeType="1"/>
        </xdr:cNvSpPr>
      </xdr:nvSpPr>
      <xdr:spPr bwMode="auto">
        <a:xfrm>
          <a:off x="5267614" y="12335453"/>
          <a:ext cx="283729" cy="0"/>
        </a:xfrm>
        <a:prstGeom prst="line">
          <a:avLst/>
        </a:prstGeom>
        <a:noFill/>
        <a:ln w="9525">
          <a:solidFill>
            <a:srgbClr val="000000"/>
          </a:solidFill>
          <a:round/>
          <a:headEnd/>
          <a:tailEnd/>
        </a:ln>
      </xdr:spPr>
    </xdr:sp>
    <xdr:clientData/>
  </xdr:twoCellAnchor>
  <xdr:twoCellAnchor>
    <xdr:from>
      <xdr:col>68</xdr:col>
      <xdr:colOff>15875</xdr:colOff>
      <xdr:row>42</xdr:row>
      <xdr:rowOff>177800</xdr:rowOff>
    </xdr:from>
    <xdr:to>
      <xdr:col>72</xdr:col>
      <xdr:colOff>112600</xdr:colOff>
      <xdr:row>46</xdr:row>
      <xdr:rowOff>135800</xdr:rowOff>
    </xdr:to>
    <xdr:grpSp>
      <xdr:nvGrpSpPr>
        <xdr:cNvPr id="103" name="グループ化 102">
          <a:extLst>
            <a:ext uri="{FF2B5EF4-FFF2-40B4-BE49-F238E27FC236}">
              <a16:creationId xmlns:a16="http://schemas.microsoft.com/office/drawing/2014/main" xmlns="" id="{374A4359-CD0E-489E-85D1-34F12F7E664E}"/>
            </a:ext>
          </a:extLst>
        </xdr:cNvPr>
        <xdr:cNvGrpSpPr/>
      </xdr:nvGrpSpPr>
      <xdr:grpSpPr>
        <a:xfrm>
          <a:off x="12353018" y="7725229"/>
          <a:ext cx="822439" cy="756285"/>
          <a:chOff x="11620500" y="7927975"/>
          <a:chExt cx="912700" cy="720000"/>
        </a:xfrm>
      </xdr:grpSpPr>
      <xdr:sp macro="" textlink="">
        <xdr:nvSpPr>
          <xdr:cNvPr id="104" name="Rectangle 573">
            <a:extLst>
              <a:ext uri="{FF2B5EF4-FFF2-40B4-BE49-F238E27FC236}">
                <a16:creationId xmlns:a16="http://schemas.microsoft.com/office/drawing/2014/main" xmlns="" id="{76F30694-4DB7-7893-F7AD-ED36D6686F9D}"/>
              </a:ext>
            </a:extLst>
          </xdr:cNvPr>
          <xdr:cNvSpPr>
            <a:spLocks noChangeArrowheads="1"/>
          </xdr:cNvSpPr>
        </xdr:nvSpPr>
        <xdr:spPr bwMode="auto">
          <a:xfrm>
            <a:off x="11620500" y="7927975"/>
            <a:ext cx="912700" cy="720000"/>
          </a:xfrm>
          <a:prstGeom prst="rect">
            <a:avLst/>
          </a:prstGeom>
          <a:solidFill>
            <a:srgbClr val="FFFFFF"/>
          </a:solidFill>
          <a:ln w="9525">
            <a:solidFill>
              <a:srgbClr val="000000"/>
            </a:solidFill>
            <a:miter lim="800000"/>
            <a:headEnd/>
            <a:tailEnd/>
          </a:ln>
        </xdr:spPr>
      </xdr:sp>
      <xdr:sp macro="" textlink="">
        <xdr:nvSpPr>
          <xdr:cNvPr id="105" name="Text Box 575">
            <a:extLst>
              <a:ext uri="{FF2B5EF4-FFF2-40B4-BE49-F238E27FC236}">
                <a16:creationId xmlns:a16="http://schemas.microsoft.com/office/drawing/2014/main" xmlns="" id="{1698A52F-6B1B-B87B-B55B-5A9237C51A57}"/>
              </a:ext>
            </a:extLst>
          </xdr:cNvPr>
          <xdr:cNvSpPr txBox="1">
            <a:spLocks noChangeArrowheads="1"/>
          </xdr:cNvSpPr>
        </xdr:nvSpPr>
        <xdr:spPr bwMode="auto">
          <a:xfrm>
            <a:off x="11741150" y="8128000"/>
            <a:ext cx="749300" cy="333375"/>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200" b="0" i="0" u="none" strike="noStrike" baseline="0">
                <a:solidFill>
                  <a:srgbClr val="000000"/>
                </a:solidFill>
                <a:latin typeface="ＭＳ Ｐゴシック"/>
                <a:ea typeface="ＭＳ Ｐゴシック"/>
              </a:rPr>
              <a:t>７</a:t>
            </a:r>
            <a:r>
              <a:rPr lang="en-US" altLang="ja-JP" sz="1200" b="0" i="0" u="none" strike="noStrike" baseline="0">
                <a:solidFill>
                  <a:srgbClr val="000000"/>
                </a:solidFill>
                <a:latin typeface="ＭＳ Ｐゴシック"/>
                <a:ea typeface="ＭＳ Ｐゴシック"/>
              </a:rPr>
              <a:t>t</a:t>
            </a:r>
            <a:r>
              <a:rPr lang="ja-JP" altLang="en-US" sz="1200" b="0" i="0" u="none" strike="noStrike" baseline="0">
                <a:solidFill>
                  <a:srgbClr val="000000"/>
                </a:solidFill>
                <a:latin typeface="ＭＳ Ｐゴシック"/>
                <a:ea typeface="ＭＳ Ｐゴシック"/>
              </a:rPr>
              <a:t>　７号機</a:t>
            </a:r>
          </a:p>
        </xdr:txBody>
      </xdr:sp>
    </xdr:grpSp>
    <xdr:clientData/>
  </xdr:twoCellAnchor>
  <xdr:twoCellAnchor>
    <xdr:from>
      <xdr:col>69</xdr:col>
      <xdr:colOff>44450</xdr:colOff>
      <xdr:row>27</xdr:row>
      <xdr:rowOff>161925</xdr:rowOff>
    </xdr:from>
    <xdr:to>
      <xdr:col>73</xdr:col>
      <xdr:colOff>142875</xdr:colOff>
      <xdr:row>31</xdr:row>
      <xdr:rowOff>114152</xdr:rowOff>
    </xdr:to>
    <xdr:grpSp>
      <xdr:nvGrpSpPr>
        <xdr:cNvPr id="106" name="グループ化 105">
          <a:extLst>
            <a:ext uri="{FF2B5EF4-FFF2-40B4-BE49-F238E27FC236}">
              <a16:creationId xmlns:a16="http://schemas.microsoft.com/office/drawing/2014/main" xmlns="" id="{95EA5E56-83BB-4812-BC82-1313EC1398BF}"/>
            </a:ext>
          </a:extLst>
        </xdr:cNvPr>
        <xdr:cNvGrpSpPr/>
      </xdr:nvGrpSpPr>
      <xdr:grpSpPr>
        <a:xfrm>
          <a:off x="12563021" y="4715782"/>
          <a:ext cx="824140" cy="750513"/>
          <a:chOff x="11620500" y="6848475"/>
          <a:chExt cx="914400" cy="720000"/>
        </a:xfrm>
      </xdr:grpSpPr>
      <xdr:sp macro="" textlink="">
        <xdr:nvSpPr>
          <xdr:cNvPr id="107" name="Rectangle 571">
            <a:extLst>
              <a:ext uri="{FF2B5EF4-FFF2-40B4-BE49-F238E27FC236}">
                <a16:creationId xmlns:a16="http://schemas.microsoft.com/office/drawing/2014/main" xmlns="" id="{DFF24906-63EC-240F-6DC1-2B02B8DC450E}"/>
              </a:ext>
            </a:extLst>
          </xdr:cNvPr>
          <xdr:cNvSpPr>
            <a:spLocks noChangeArrowheads="1"/>
          </xdr:cNvSpPr>
        </xdr:nvSpPr>
        <xdr:spPr bwMode="auto">
          <a:xfrm>
            <a:off x="11620500" y="6848475"/>
            <a:ext cx="912700" cy="720000"/>
          </a:xfrm>
          <a:prstGeom prst="rect">
            <a:avLst/>
          </a:prstGeom>
          <a:solidFill>
            <a:srgbClr val="FFFFFF"/>
          </a:solidFill>
          <a:ln w="9525">
            <a:solidFill>
              <a:srgbClr val="000000"/>
            </a:solidFill>
            <a:miter lim="800000"/>
            <a:headEnd/>
            <a:tailEnd/>
          </a:ln>
        </xdr:spPr>
      </xdr:sp>
      <xdr:sp macro="" textlink="">
        <xdr:nvSpPr>
          <xdr:cNvPr id="108" name="Text Box 576">
            <a:extLst>
              <a:ext uri="{FF2B5EF4-FFF2-40B4-BE49-F238E27FC236}">
                <a16:creationId xmlns:a16="http://schemas.microsoft.com/office/drawing/2014/main" xmlns="" id="{ED2AF8A9-691F-402A-C1A3-B3094111B011}"/>
              </a:ext>
            </a:extLst>
          </xdr:cNvPr>
          <xdr:cNvSpPr txBox="1">
            <a:spLocks noChangeArrowheads="1"/>
          </xdr:cNvSpPr>
        </xdr:nvSpPr>
        <xdr:spPr bwMode="auto">
          <a:xfrm>
            <a:off x="11734800" y="7105650"/>
            <a:ext cx="800100" cy="333375"/>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200" b="0" i="0" u="none" strike="noStrike" baseline="0">
                <a:solidFill>
                  <a:srgbClr val="000000"/>
                </a:solidFill>
                <a:latin typeface="ＭＳ Ｐゴシック"/>
                <a:ea typeface="ＭＳ Ｐゴシック"/>
              </a:rPr>
              <a:t>５</a:t>
            </a:r>
            <a:r>
              <a:rPr lang="en-US" altLang="ja-JP" sz="1200" b="0" i="0" u="none" strike="noStrike" baseline="0">
                <a:solidFill>
                  <a:srgbClr val="000000"/>
                </a:solidFill>
                <a:latin typeface="ＭＳ Ｐゴシック"/>
                <a:ea typeface="ＭＳ Ｐゴシック"/>
              </a:rPr>
              <a:t>t</a:t>
            </a:r>
            <a:r>
              <a:rPr lang="ja-JP" altLang="en-US" sz="1200" b="0" i="0" u="none" strike="noStrike" baseline="0">
                <a:solidFill>
                  <a:srgbClr val="000000"/>
                </a:solidFill>
                <a:latin typeface="ＭＳ Ｐゴシック"/>
                <a:ea typeface="ＭＳ Ｐゴシック"/>
              </a:rPr>
              <a:t>　８号機</a:t>
            </a:r>
          </a:p>
        </xdr:txBody>
      </xdr:sp>
    </xdr:grpSp>
    <xdr:clientData/>
  </xdr:twoCellAnchor>
  <xdr:twoCellAnchor>
    <xdr:from>
      <xdr:col>65</xdr:col>
      <xdr:colOff>85725</xdr:colOff>
      <xdr:row>12</xdr:row>
      <xdr:rowOff>28576</xdr:rowOff>
    </xdr:from>
    <xdr:to>
      <xdr:col>74</xdr:col>
      <xdr:colOff>28575</xdr:colOff>
      <xdr:row>13</xdr:row>
      <xdr:rowOff>139412</xdr:rowOff>
    </xdr:to>
    <xdr:sp macro="" textlink="">
      <xdr:nvSpPr>
        <xdr:cNvPr id="109" name="Text Box 587">
          <a:extLst>
            <a:ext uri="{FF2B5EF4-FFF2-40B4-BE49-F238E27FC236}">
              <a16:creationId xmlns:a16="http://schemas.microsoft.com/office/drawing/2014/main" xmlns="" id="{48A5B893-811E-43E6-AD0B-00D5A2A94B8C}"/>
            </a:ext>
          </a:extLst>
        </xdr:cNvPr>
        <xdr:cNvSpPr txBox="1">
          <a:spLocks noChangeArrowheads="1"/>
        </xdr:cNvSpPr>
      </xdr:nvSpPr>
      <xdr:spPr bwMode="auto">
        <a:xfrm>
          <a:off x="12092998" y="2072121"/>
          <a:ext cx="1605395" cy="272473"/>
        </a:xfrm>
        <a:prstGeom prst="rect">
          <a:avLst/>
        </a:prstGeom>
        <a:noFill/>
        <a:ln w="9525">
          <a:noFill/>
          <a:miter lim="800000"/>
          <a:headEnd/>
          <a:tailEnd/>
        </a:ln>
      </xdr:spPr>
      <xdr:txBody>
        <a:bodyPr vertOverflow="clip" wrap="square" lIns="0" tIns="0" rIns="0" bIns="0" anchor="ctr" upright="1"/>
        <a:lstStyle/>
        <a:p>
          <a:pPr algn="ctr" rtl="0">
            <a:defRPr sz="1000"/>
          </a:pPr>
          <a:r>
            <a:rPr lang="ja-JP" altLang="en-US" sz="1200" b="0" i="0" u="none" strike="noStrike" baseline="0">
              <a:solidFill>
                <a:srgbClr val="000000"/>
              </a:solidFill>
              <a:latin typeface="ＭＳ Ｐゴシック"/>
              <a:ea typeface="ＭＳ Ｐゴシック"/>
            </a:rPr>
            <a:t>補給品資材置き場</a:t>
          </a:r>
        </a:p>
      </xdr:txBody>
    </xdr:sp>
    <xdr:clientData/>
  </xdr:twoCellAnchor>
  <xdr:twoCellAnchor>
    <xdr:from>
      <xdr:col>58</xdr:col>
      <xdr:colOff>76200</xdr:colOff>
      <xdr:row>12</xdr:row>
      <xdr:rowOff>57151</xdr:rowOff>
    </xdr:from>
    <xdr:to>
      <xdr:col>60</xdr:col>
      <xdr:colOff>142875</xdr:colOff>
      <xdr:row>14</xdr:row>
      <xdr:rowOff>69273</xdr:rowOff>
    </xdr:to>
    <xdr:sp macro="" textlink="">
      <xdr:nvSpPr>
        <xdr:cNvPr id="110" name="Text Box 588">
          <a:extLst>
            <a:ext uri="{FF2B5EF4-FFF2-40B4-BE49-F238E27FC236}">
              <a16:creationId xmlns:a16="http://schemas.microsoft.com/office/drawing/2014/main" xmlns="" id="{D7FF11DA-75C4-410E-9C94-3D6DF8AE8B21}"/>
            </a:ext>
          </a:extLst>
        </xdr:cNvPr>
        <xdr:cNvSpPr txBox="1">
          <a:spLocks noChangeArrowheads="1"/>
        </xdr:cNvSpPr>
      </xdr:nvSpPr>
      <xdr:spPr bwMode="auto">
        <a:xfrm>
          <a:off x="10790382" y="2100696"/>
          <a:ext cx="436129" cy="335395"/>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200" b="0" i="0" u="none" strike="noStrike" baseline="0">
              <a:solidFill>
                <a:srgbClr val="000000"/>
              </a:solidFill>
              <a:latin typeface="ＭＳ Ｐゴシック"/>
              <a:ea typeface="ＭＳ Ｐゴシック"/>
            </a:rPr>
            <a:t>W</a:t>
          </a:r>
          <a:r>
            <a:rPr lang="ja-JP" altLang="en-US" sz="1200" b="0" i="0" u="none" strike="noStrike" baseline="0">
              <a:solidFill>
                <a:srgbClr val="000000"/>
              </a:solidFill>
              <a:latin typeface="ＭＳ Ｐゴシック"/>
              <a:ea typeface="ＭＳ Ｐゴシック"/>
            </a:rPr>
            <a:t>・</a:t>
          </a:r>
          <a:r>
            <a:rPr lang="en-US" altLang="ja-JP" sz="1200" b="0" i="0" u="none" strike="noStrike" baseline="0">
              <a:solidFill>
                <a:srgbClr val="000000"/>
              </a:solidFill>
              <a:latin typeface="ＭＳ Ｐゴシック"/>
              <a:ea typeface="ＭＳ Ｐゴシック"/>
            </a:rPr>
            <a:t>C</a:t>
          </a:r>
        </a:p>
      </xdr:txBody>
    </xdr:sp>
    <xdr:clientData/>
  </xdr:twoCellAnchor>
  <xdr:twoCellAnchor>
    <xdr:from>
      <xdr:col>57</xdr:col>
      <xdr:colOff>142875</xdr:colOff>
      <xdr:row>20</xdr:row>
      <xdr:rowOff>46471</xdr:rowOff>
    </xdr:from>
    <xdr:to>
      <xdr:col>61</xdr:col>
      <xdr:colOff>38100</xdr:colOff>
      <xdr:row>23</xdr:row>
      <xdr:rowOff>102755</xdr:rowOff>
    </xdr:to>
    <xdr:sp macro="" textlink="">
      <xdr:nvSpPr>
        <xdr:cNvPr id="111" name="Text Box 589">
          <a:extLst>
            <a:ext uri="{FF2B5EF4-FFF2-40B4-BE49-F238E27FC236}">
              <a16:creationId xmlns:a16="http://schemas.microsoft.com/office/drawing/2014/main" xmlns="" id="{5E6478FE-774C-44BA-ACAD-F6C32528AED4}"/>
            </a:ext>
          </a:extLst>
        </xdr:cNvPr>
        <xdr:cNvSpPr txBox="1">
          <a:spLocks noChangeArrowheads="1"/>
        </xdr:cNvSpPr>
      </xdr:nvSpPr>
      <xdr:spPr bwMode="auto">
        <a:xfrm>
          <a:off x="10672330" y="3383107"/>
          <a:ext cx="634134" cy="541193"/>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200" b="0" i="0" u="none" strike="noStrike" baseline="0">
              <a:solidFill>
                <a:srgbClr val="000000"/>
              </a:solidFill>
              <a:latin typeface="ＭＳ Ｐゴシック"/>
              <a:ea typeface="ＭＳ Ｐゴシック"/>
            </a:rPr>
            <a:t>W</a:t>
          </a:r>
          <a:r>
            <a:rPr lang="ja-JP" altLang="en-US" sz="1200" b="0" i="0" u="none" strike="noStrike" baseline="0">
              <a:solidFill>
                <a:srgbClr val="000000"/>
              </a:solidFill>
              <a:latin typeface="ＭＳ Ｐゴシック"/>
              <a:ea typeface="ＭＳ Ｐゴシック"/>
            </a:rPr>
            <a:t>・</a:t>
          </a:r>
          <a:r>
            <a:rPr lang="en-US" altLang="ja-JP" sz="1200" b="0" i="0" u="none" strike="noStrike" baseline="0">
              <a:solidFill>
                <a:srgbClr val="000000"/>
              </a:solidFill>
              <a:latin typeface="ＭＳ Ｐゴシック"/>
              <a:ea typeface="ＭＳ Ｐゴシック"/>
            </a:rPr>
            <a:t>C</a:t>
          </a:r>
        </a:p>
        <a:p>
          <a:pPr algn="l" rtl="0">
            <a:defRPr sz="1000"/>
          </a:pPr>
          <a:r>
            <a:rPr lang="ja-JP" altLang="en-US" sz="1200" b="0" i="0" u="none" strike="noStrike" baseline="0">
              <a:solidFill>
                <a:srgbClr val="000000"/>
              </a:solidFill>
              <a:latin typeface="ＭＳ Ｐゴシック"/>
              <a:ea typeface="ＭＳ Ｐゴシック"/>
            </a:rPr>
            <a:t>（女性用）</a:t>
          </a:r>
        </a:p>
      </xdr:txBody>
    </xdr:sp>
    <xdr:clientData/>
  </xdr:twoCellAnchor>
  <xdr:twoCellAnchor>
    <xdr:from>
      <xdr:col>61</xdr:col>
      <xdr:colOff>38100</xdr:colOff>
      <xdr:row>18</xdr:row>
      <xdr:rowOff>78220</xdr:rowOff>
    </xdr:from>
    <xdr:to>
      <xdr:col>62</xdr:col>
      <xdr:colOff>76200</xdr:colOff>
      <xdr:row>20</xdr:row>
      <xdr:rowOff>46471</xdr:rowOff>
    </xdr:to>
    <xdr:grpSp>
      <xdr:nvGrpSpPr>
        <xdr:cNvPr id="112" name="Group 592">
          <a:extLst>
            <a:ext uri="{FF2B5EF4-FFF2-40B4-BE49-F238E27FC236}">
              <a16:creationId xmlns:a16="http://schemas.microsoft.com/office/drawing/2014/main" xmlns="" id="{3B9ECFE8-E188-4E6E-9476-8ECA9C677DE4}"/>
            </a:ext>
          </a:extLst>
        </xdr:cNvPr>
        <xdr:cNvGrpSpPr>
          <a:grpSpLocks/>
        </xdr:cNvGrpSpPr>
      </xdr:nvGrpSpPr>
      <xdr:grpSpPr bwMode="auto">
        <a:xfrm>
          <a:off x="11105243" y="3162506"/>
          <a:ext cx="219528" cy="294822"/>
          <a:chOff x="1176" y="149"/>
          <a:chExt cx="25" cy="30"/>
        </a:xfrm>
      </xdr:grpSpPr>
      <xdr:sp macro="" textlink="">
        <xdr:nvSpPr>
          <xdr:cNvPr id="113" name="Arc 590">
            <a:extLst>
              <a:ext uri="{FF2B5EF4-FFF2-40B4-BE49-F238E27FC236}">
                <a16:creationId xmlns:a16="http://schemas.microsoft.com/office/drawing/2014/main" xmlns="" id="{2D10EFF4-762B-9CAA-6C96-B9B962F97E79}"/>
              </a:ext>
            </a:extLst>
          </xdr:cNvPr>
          <xdr:cNvSpPr>
            <a:spLocks/>
          </xdr:cNvSpPr>
        </xdr:nvSpPr>
        <xdr:spPr bwMode="auto">
          <a:xfrm flipV="1">
            <a:off x="1176" y="149"/>
            <a:ext cx="25" cy="30"/>
          </a:xfrm>
          <a:custGeom>
            <a:avLst/>
            <a:gdLst>
              <a:gd name="G0" fmla="+- 0 0 0"/>
              <a:gd name="G1" fmla="+- 21600 0 0"/>
              <a:gd name="G2" fmla="+- 21600 0 0"/>
              <a:gd name="T0" fmla="*/ 0 w 21600"/>
              <a:gd name="T1" fmla="*/ 0 h 21600"/>
              <a:gd name="T2" fmla="*/ 21600 w 21600"/>
              <a:gd name="T3" fmla="*/ 21600 h 21600"/>
              <a:gd name="T4" fmla="*/ 0 w 21600"/>
              <a:gd name="T5" fmla="*/ 21600 h 21600"/>
            </a:gdLst>
            <a:ahLst/>
            <a:cxnLst>
              <a:cxn ang="0">
                <a:pos x="T0" y="T1"/>
              </a:cxn>
              <a:cxn ang="0">
                <a:pos x="T2" y="T3"/>
              </a:cxn>
              <a:cxn ang="0">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FFFFFF"/>
          </a:solidFill>
          <a:ln w="9525">
            <a:solidFill>
              <a:srgbClr val="000000"/>
            </a:solidFill>
            <a:round/>
            <a:headEnd/>
            <a:tailEnd/>
          </a:ln>
        </xdr:spPr>
      </xdr:sp>
      <xdr:sp macro="" textlink="">
        <xdr:nvSpPr>
          <xdr:cNvPr id="114" name="Line 591">
            <a:extLst>
              <a:ext uri="{FF2B5EF4-FFF2-40B4-BE49-F238E27FC236}">
                <a16:creationId xmlns:a16="http://schemas.microsoft.com/office/drawing/2014/main" xmlns="" id="{D142EF42-79A4-0284-3831-8A38C88A9159}"/>
              </a:ext>
            </a:extLst>
          </xdr:cNvPr>
          <xdr:cNvSpPr>
            <a:spLocks noChangeShapeType="1"/>
          </xdr:cNvSpPr>
        </xdr:nvSpPr>
        <xdr:spPr bwMode="auto">
          <a:xfrm flipH="1">
            <a:off x="1176" y="149"/>
            <a:ext cx="25" cy="0"/>
          </a:xfrm>
          <a:prstGeom prst="line">
            <a:avLst/>
          </a:prstGeom>
          <a:noFill/>
          <a:ln w="9525">
            <a:solidFill>
              <a:srgbClr val="000000"/>
            </a:solidFill>
            <a:round/>
            <a:headEnd/>
            <a:tailEnd/>
          </a:ln>
        </xdr:spPr>
      </xdr:sp>
    </xdr:grpSp>
    <xdr:clientData/>
  </xdr:twoCellAnchor>
  <xdr:twoCellAnchor>
    <xdr:from>
      <xdr:col>55</xdr:col>
      <xdr:colOff>171450</xdr:colOff>
      <xdr:row>15</xdr:row>
      <xdr:rowOff>113434</xdr:rowOff>
    </xdr:from>
    <xdr:to>
      <xdr:col>57</xdr:col>
      <xdr:colOff>9525</xdr:colOff>
      <xdr:row>17</xdr:row>
      <xdr:rowOff>81685</xdr:rowOff>
    </xdr:to>
    <xdr:grpSp>
      <xdr:nvGrpSpPr>
        <xdr:cNvPr id="115" name="Group 593">
          <a:extLst>
            <a:ext uri="{FF2B5EF4-FFF2-40B4-BE49-F238E27FC236}">
              <a16:creationId xmlns:a16="http://schemas.microsoft.com/office/drawing/2014/main" xmlns="" id="{316C3BDB-152A-462A-961A-47263F2FBB51}"/>
            </a:ext>
          </a:extLst>
        </xdr:cNvPr>
        <xdr:cNvGrpSpPr>
          <a:grpSpLocks/>
        </xdr:cNvGrpSpPr>
      </xdr:nvGrpSpPr>
      <xdr:grpSpPr bwMode="auto">
        <a:xfrm flipH="1">
          <a:off x="10150021" y="2707863"/>
          <a:ext cx="200933" cy="294822"/>
          <a:chOff x="1176" y="149"/>
          <a:chExt cx="25" cy="30"/>
        </a:xfrm>
      </xdr:grpSpPr>
      <xdr:sp macro="" textlink="">
        <xdr:nvSpPr>
          <xdr:cNvPr id="116" name="Arc 594">
            <a:extLst>
              <a:ext uri="{FF2B5EF4-FFF2-40B4-BE49-F238E27FC236}">
                <a16:creationId xmlns:a16="http://schemas.microsoft.com/office/drawing/2014/main" xmlns="" id="{7B34138A-B3C4-827B-D52A-23A3150ADA91}"/>
              </a:ext>
            </a:extLst>
          </xdr:cNvPr>
          <xdr:cNvSpPr>
            <a:spLocks/>
          </xdr:cNvSpPr>
        </xdr:nvSpPr>
        <xdr:spPr bwMode="auto">
          <a:xfrm flipV="1">
            <a:off x="1176" y="149"/>
            <a:ext cx="25" cy="30"/>
          </a:xfrm>
          <a:custGeom>
            <a:avLst/>
            <a:gdLst>
              <a:gd name="G0" fmla="+- 0 0 0"/>
              <a:gd name="G1" fmla="+- 21600 0 0"/>
              <a:gd name="G2" fmla="+- 21600 0 0"/>
              <a:gd name="T0" fmla="*/ 0 w 21600"/>
              <a:gd name="T1" fmla="*/ 0 h 21600"/>
              <a:gd name="T2" fmla="*/ 21600 w 21600"/>
              <a:gd name="T3" fmla="*/ 21600 h 21600"/>
              <a:gd name="T4" fmla="*/ 0 w 21600"/>
              <a:gd name="T5" fmla="*/ 21600 h 21600"/>
            </a:gdLst>
            <a:ahLst/>
            <a:cxnLst>
              <a:cxn ang="0">
                <a:pos x="T0" y="T1"/>
              </a:cxn>
              <a:cxn ang="0">
                <a:pos x="T2" y="T3"/>
              </a:cxn>
              <a:cxn ang="0">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FFFFFF"/>
          </a:solidFill>
          <a:ln w="9525">
            <a:solidFill>
              <a:srgbClr val="000000"/>
            </a:solidFill>
            <a:round/>
            <a:headEnd/>
            <a:tailEnd/>
          </a:ln>
        </xdr:spPr>
      </xdr:sp>
      <xdr:sp macro="" textlink="">
        <xdr:nvSpPr>
          <xdr:cNvPr id="117" name="Line 595">
            <a:extLst>
              <a:ext uri="{FF2B5EF4-FFF2-40B4-BE49-F238E27FC236}">
                <a16:creationId xmlns:a16="http://schemas.microsoft.com/office/drawing/2014/main" xmlns="" id="{3C595752-DC8E-73AC-A380-F7C5AB77D2F6}"/>
              </a:ext>
            </a:extLst>
          </xdr:cNvPr>
          <xdr:cNvSpPr>
            <a:spLocks noChangeShapeType="1"/>
          </xdr:cNvSpPr>
        </xdr:nvSpPr>
        <xdr:spPr bwMode="auto">
          <a:xfrm flipH="1">
            <a:off x="1176" y="149"/>
            <a:ext cx="25" cy="0"/>
          </a:xfrm>
          <a:prstGeom prst="line">
            <a:avLst/>
          </a:prstGeom>
          <a:noFill/>
          <a:ln w="9525">
            <a:solidFill>
              <a:srgbClr val="000000"/>
            </a:solidFill>
            <a:round/>
            <a:headEnd/>
            <a:tailEnd/>
          </a:ln>
        </xdr:spPr>
      </xdr:sp>
    </xdr:grpSp>
    <xdr:clientData/>
  </xdr:twoCellAnchor>
  <xdr:twoCellAnchor>
    <xdr:from>
      <xdr:col>41</xdr:col>
      <xdr:colOff>38100</xdr:colOff>
      <xdr:row>20</xdr:row>
      <xdr:rowOff>65521</xdr:rowOff>
    </xdr:from>
    <xdr:to>
      <xdr:col>45</xdr:col>
      <xdr:colOff>123825</xdr:colOff>
      <xdr:row>22</xdr:row>
      <xdr:rowOff>106219</xdr:rowOff>
    </xdr:to>
    <xdr:sp macro="" textlink="">
      <xdr:nvSpPr>
        <xdr:cNvPr id="118" name="Text Box 633">
          <a:extLst>
            <a:ext uri="{FF2B5EF4-FFF2-40B4-BE49-F238E27FC236}">
              <a16:creationId xmlns:a16="http://schemas.microsoft.com/office/drawing/2014/main" xmlns="" id="{E6898BB5-F749-499B-8CAE-E44C2B45E758}"/>
            </a:ext>
          </a:extLst>
        </xdr:cNvPr>
        <xdr:cNvSpPr txBox="1">
          <a:spLocks noChangeArrowheads="1"/>
        </xdr:cNvSpPr>
      </xdr:nvSpPr>
      <xdr:spPr bwMode="auto">
        <a:xfrm>
          <a:off x="7611918" y="3402157"/>
          <a:ext cx="824634" cy="363971"/>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2000" b="0" i="0" u="none" strike="noStrike" baseline="0">
              <a:solidFill>
                <a:srgbClr val="000000"/>
              </a:solidFill>
              <a:latin typeface="ＭＳ Ｐゴシック"/>
              <a:ea typeface="ＭＳ Ｐゴシック"/>
            </a:rPr>
            <a:t>食　堂</a:t>
          </a:r>
        </a:p>
      </xdr:txBody>
    </xdr:sp>
    <xdr:clientData/>
  </xdr:twoCellAnchor>
  <xdr:twoCellAnchor>
    <xdr:from>
      <xdr:col>15</xdr:col>
      <xdr:colOff>171450</xdr:colOff>
      <xdr:row>21</xdr:row>
      <xdr:rowOff>14432</xdr:rowOff>
    </xdr:from>
    <xdr:to>
      <xdr:col>20</xdr:col>
      <xdr:colOff>142875</xdr:colOff>
      <xdr:row>23</xdr:row>
      <xdr:rowOff>93230</xdr:rowOff>
    </xdr:to>
    <xdr:sp macro="" textlink="">
      <xdr:nvSpPr>
        <xdr:cNvPr id="119"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2942359" y="3512705"/>
          <a:ext cx="895061" cy="402070"/>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2000" b="0" i="0" u="none" strike="noStrike" baseline="0">
              <a:solidFill>
                <a:srgbClr val="000000"/>
              </a:solidFill>
              <a:latin typeface="ＭＳ Ｐゴシック"/>
              <a:ea typeface="ＭＳ Ｐゴシック"/>
            </a:rPr>
            <a:t>事務所</a:t>
          </a:r>
        </a:p>
      </xdr:txBody>
    </xdr:sp>
    <xdr:clientData/>
  </xdr:twoCellAnchor>
  <xdr:twoCellAnchor>
    <xdr:from>
      <xdr:col>9</xdr:col>
      <xdr:colOff>152400</xdr:colOff>
      <xdr:row>43</xdr:row>
      <xdr:rowOff>54552</xdr:rowOff>
    </xdr:from>
    <xdr:to>
      <xdr:col>13</xdr:col>
      <xdr:colOff>161925</xdr:colOff>
      <xdr:row>45</xdr:row>
      <xdr:rowOff>16453</xdr:rowOff>
    </xdr:to>
    <xdr:sp macro="" textlink="">
      <xdr:nvSpPr>
        <xdr:cNvPr id="120" name="Text Box 635">
          <a:extLst>
            <a:ext uri="{FF2B5EF4-FFF2-40B4-BE49-F238E27FC236}">
              <a16:creationId xmlns:a16="http://schemas.microsoft.com/office/drawing/2014/main" xmlns="" id="{4BDD93CD-8F44-42C1-B42B-804C34A32A2B}"/>
            </a:ext>
          </a:extLst>
        </xdr:cNvPr>
        <xdr:cNvSpPr txBox="1">
          <a:spLocks noChangeArrowheads="1"/>
        </xdr:cNvSpPr>
      </xdr:nvSpPr>
      <xdr:spPr bwMode="auto">
        <a:xfrm>
          <a:off x="1814945" y="7663007"/>
          <a:ext cx="748435" cy="354446"/>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2000" b="0" i="0" u="none" strike="noStrike" baseline="0">
              <a:solidFill>
                <a:srgbClr val="000000"/>
              </a:solidFill>
              <a:latin typeface="ＭＳ Ｐゴシック"/>
              <a:ea typeface="ＭＳ Ｐゴシック"/>
            </a:rPr>
            <a:t>玄　関</a:t>
          </a:r>
        </a:p>
      </xdr:txBody>
    </xdr:sp>
    <xdr:clientData/>
  </xdr:twoCellAnchor>
  <xdr:twoCellAnchor>
    <xdr:from>
      <xdr:col>23</xdr:col>
      <xdr:colOff>0</xdr:colOff>
      <xdr:row>39</xdr:row>
      <xdr:rowOff>193675</xdr:rowOff>
    </xdr:from>
    <xdr:to>
      <xdr:col>28</xdr:col>
      <xdr:colOff>142875</xdr:colOff>
      <xdr:row>41</xdr:row>
      <xdr:rowOff>16453</xdr:rowOff>
    </xdr:to>
    <xdr:sp macro="" textlink="">
      <xdr:nvSpPr>
        <xdr:cNvPr id="121" name="Text Box 636">
          <a:extLst>
            <a:ext uri="{FF2B5EF4-FFF2-40B4-BE49-F238E27FC236}">
              <a16:creationId xmlns:a16="http://schemas.microsoft.com/office/drawing/2014/main" xmlns="" id="{297E3F1C-CAF8-4E25-9A31-FAE854B6DEB2}"/>
            </a:ext>
          </a:extLst>
        </xdr:cNvPr>
        <xdr:cNvSpPr txBox="1">
          <a:spLocks noChangeArrowheads="1"/>
        </xdr:cNvSpPr>
      </xdr:nvSpPr>
      <xdr:spPr bwMode="auto">
        <a:xfrm>
          <a:off x="4248727" y="7017039"/>
          <a:ext cx="1066512" cy="215323"/>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100" b="0" i="0" u="none" strike="noStrike" baseline="0">
              <a:solidFill>
                <a:srgbClr val="000000"/>
              </a:solidFill>
              <a:latin typeface="ＭＳ Ｐゴシック"/>
              <a:ea typeface="ＭＳ Ｐゴシック"/>
            </a:rPr>
            <a:t>靴箱（外履き用）</a:t>
          </a:r>
        </a:p>
      </xdr:txBody>
    </xdr:sp>
    <xdr:clientData/>
  </xdr:twoCellAnchor>
  <xdr:twoCellAnchor>
    <xdr:from>
      <xdr:col>23</xdr:col>
      <xdr:colOff>0</xdr:colOff>
      <xdr:row>47</xdr:row>
      <xdr:rowOff>102178</xdr:rowOff>
    </xdr:from>
    <xdr:to>
      <xdr:col>28</xdr:col>
      <xdr:colOff>47625</xdr:colOff>
      <xdr:row>48</xdr:row>
      <xdr:rowOff>127001</xdr:rowOff>
    </xdr:to>
    <xdr:sp macro="" textlink="">
      <xdr:nvSpPr>
        <xdr:cNvPr id="122" name="Text Box 637">
          <a:extLst>
            <a:ext uri="{FF2B5EF4-FFF2-40B4-BE49-F238E27FC236}">
              <a16:creationId xmlns:a16="http://schemas.microsoft.com/office/drawing/2014/main" xmlns="" id="{1059FE58-4A60-41BF-9649-5703D8DA4AD7}"/>
            </a:ext>
          </a:extLst>
        </xdr:cNvPr>
        <xdr:cNvSpPr txBox="1">
          <a:spLocks noChangeArrowheads="1"/>
        </xdr:cNvSpPr>
      </xdr:nvSpPr>
      <xdr:spPr bwMode="auto">
        <a:xfrm>
          <a:off x="4248727" y="8495723"/>
          <a:ext cx="971262" cy="221096"/>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100" b="0" i="0" u="none" strike="noStrike" baseline="0">
              <a:solidFill>
                <a:srgbClr val="000000"/>
              </a:solidFill>
              <a:latin typeface="ＭＳ Ｐゴシック"/>
              <a:ea typeface="ＭＳ Ｐゴシック"/>
            </a:rPr>
            <a:t>靴箱（中履き用）</a:t>
          </a:r>
        </a:p>
      </xdr:txBody>
    </xdr:sp>
    <xdr:clientData/>
  </xdr:twoCellAnchor>
  <xdr:twoCellAnchor>
    <xdr:from>
      <xdr:col>16</xdr:col>
      <xdr:colOff>88900</xdr:colOff>
      <xdr:row>80</xdr:row>
      <xdr:rowOff>45028</xdr:rowOff>
    </xdr:from>
    <xdr:to>
      <xdr:col>26</xdr:col>
      <xdr:colOff>101600</xdr:colOff>
      <xdr:row>82</xdr:row>
      <xdr:rowOff>174624</xdr:rowOff>
    </xdr:to>
    <xdr:sp macro="" textlink="">
      <xdr:nvSpPr>
        <xdr:cNvPr id="123" name="Rectangle 941">
          <a:extLst>
            <a:ext uri="{FF2B5EF4-FFF2-40B4-BE49-F238E27FC236}">
              <a16:creationId xmlns:a16="http://schemas.microsoft.com/office/drawing/2014/main" xmlns="" id="{2EB73C63-5524-4995-87F2-89ADA7A0579F}"/>
            </a:ext>
          </a:extLst>
        </xdr:cNvPr>
        <xdr:cNvSpPr>
          <a:spLocks noChangeArrowheads="1"/>
        </xdr:cNvSpPr>
      </xdr:nvSpPr>
      <xdr:spPr bwMode="auto">
        <a:xfrm>
          <a:off x="3044536" y="14915573"/>
          <a:ext cx="1859973" cy="522142"/>
        </a:xfrm>
        <a:prstGeom prst="rect">
          <a:avLst/>
        </a:prstGeom>
        <a:solidFill>
          <a:schemeClr val="bg1"/>
        </a:solidFill>
        <a:ln w="9525">
          <a:solidFill>
            <a:srgbClr val="000000"/>
          </a:solidFill>
          <a:miter lim="800000"/>
          <a:headEnd/>
          <a:tailEnd/>
        </a:ln>
      </xdr:spPr>
    </xdr:sp>
    <xdr:clientData/>
  </xdr:twoCellAnchor>
  <xdr:oneCellAnchor>
    <xdr:from>
      <xdr:col>19</xdr:col>
      <xdr:colOff>51051</xdr:colOff>
      <xdr:row>80</xdr:row>
      <xdr:rowOff>155893</xdr:rowOff>
    </xdr:from>
    <xdr:ext cx="932948" cy="292452"/>
    <xdr:sp macro="" textlink="">
      <xdr:nvSpPr>
        <xdr:cNvPr id="124" name="正方形/長方形 123">
          <a:extLst>
            <a:ext uri="{FF2B5EF4-FFF2-40B4-BE49-F238E27FC236}">
              <a16:creationId xmlns:a16="http://schemas.microsoft.com/office/drawing/2014/main" xmlns="" id="{C542D9BD-1B52-4F94-A8A3-05C24349B1FE}"/>
            </a:ext>
          </a:extLst>
        </xdr:cNvPr>
        <xdr:cNvSpPr/>
      </xdr:nvSpPr>
      <xdr:spPr>
        <a:xfrm>
          <a:off x="3560869" y="15026438"/>
          <a:ext cx="932948" cy="292452"/>
        </a:xfrm>
        <a:prstGeom prst="rect">
          <a:avLst/>
        </a:prstGeom>
        <a:noFill/>
      </xdr:spPr>
      <xdr:txBody>
        <a:bodyPr wrap="none" lIns="91440" tIns="45720" rIns="91440" bIns="45720">
          <a:spAutoFit/>
        </a:bodyPr>
        <a:lstStyle/>
        <a:p>
          <a:pPr algn="ctr"/>
          <a:r>
            <a:rPr lang="ja-JP" altLang="en-US" sz="1200" b="0" cap="none" spc="0">
              <a:ln w="12700">
                <a:noFill/>
                <a:prstDash val="solid"/>
              </a:ln>
              <a:solidFill>
                <a:sysClr val="windowText" lastClr="000000"/>
              </a:solidFill>
              <a:effectLst/>
            </a:rPr>
            <a:t>部品置き場</a:t>
          </a:r>
        </a:p>
      </xdr:txBody>
    </xdr:sp>
    <xdr:clientData/>
  </xdr:oneCellAnchor>
  <xdr:twoCellAnchor>
    <xdr:from>
      <xdr:col>56</xdr:col>
      <xdr:colOff>87862</xdr:colOff>
      <xdr:row>71</xdr:row>
      <xdr:rowOff>38678</xdr:rowOff>
    </xdr:from>
    <xdr:to>
      <xdr:col>58</xdr:col>
      <xdr:colOff>172278</xdr:colOff>
      <xdr:row>74</xdr:row>
      <xdr:rowOff>192950</xdr:rowOff>
    </xdr:to>
    <xdr:grpSp>
      <xdr:nvGrpSpPr>
        <xdr:cNvPr id="125" name="グループ化 124">
          <a:extLst>
            <a:ext uri="{FF2B5EF4-FFF2-40B4-BE49-F238E27FC236}">
              <a16:creationId xmlns:a16="http://schemas.microsoft.com/office/drawing/2014/main" xmlns="" id="{61A3FA3B-8A2C-4540-ABF1-78E845BF06CD}"/>
            </a:ext>
          </a:extLst>
        </xdr:cNvPr>
        <xdr:cNvGrpSpPr/>
      </xdr:nvGrpSpPr>
      <xdr:grpSpPr>
        <a:xfrm>
          <a:off x="10247862" y="13373678"/>
          <a:ext cx="447273" cy="752986"/>
          <a:chOff x="11289262" y="11220450"/>
          <a:chExt cx="484466" cy="720000"/>
        </a:xfrm>
      </xdr:grpSpPr>
      <xdr:sp macro="" textlink="">
        <xdr:nvSpPr>
          <xdr:cNvPr id="126" name="Rectangle 544">
            <a:extLst>
              <a:ext uri="{FF2B5EF4-FFF2-40B4-BE49-F238E27FC236}">
                <a16:creationId xmlns:a16="http://schemas.microsoft.com/office/drawing/2014/main" xmlns="" id="{F4F261BE-1600-D180-C4DE-29F90781D741}"/>
              </a:ext>
            </a:extLst>
          </xdr:cNvPr>
          <xdr:cNvSpPr>
            <a:spLocks noChangeArrowheads="1"/>
          </xdr:cNvSpPr>
        </xdr:nvSpPr>
        <xdr:spPr bwMode="auto">
          <a:xfrm>
            <a:off x="11309350" y="11220450"/>
            <a:ext cx="432000" cy="720000"/>
          </a:xfrm>
          <a:prstGeom prst="rect">
            <a:avLst/>
          </a:prstGeom>
          <a:solidFill>
            <a:srgbClr val="FFFFFF"/>
          </a:solidFill>
          <a:ln w="9525">
            <a:solidFill>
              <a:srgbClr val="000000"/>
            </a:solidFill>
            <a:miter lim="800000"/>
            <a:headEnd/>
            <a:tailEnd/>
          </a:ln>
        </xdr:spPr>
      </xdr:sp>
      <xdr:sp macro="" textlink="">
        <xdr:nvSpPr>
          <xdr:cNvPr id="127" name="Text Box 549">
            <a:extLst>
              <a:ext uri="{FF2B5EF4-FFF2-40B4-BE49-F238E27FC236}">
                <a16:creationId xmlns:a16="http://schemas.microsoft.com/office/drawing/2014/main" xmlns="" id="{15AA9602-03DB-DE66-7980-960B3B6EAF68}"/>
              </a:ext>
            </a:extLst>
          </xdr:cNvPr>
          <xdr:cNvSpPr txBox="1">
            <a:spLocks noChangeArrowheads="1"/>
          </xdr:cNvSpPr>
        </xdr:nvSpPr>
        <xdr:spPr bwMode="auto">
          <a:xfrm>
            <a:off x="11289262" y="11293475"/>
            <a:ext cx="484466" cy="584200"/>
          </a:xfrm>
          <a:prstGeom prst="rect">
            <a:avLst/>
          </a:prstGeom>
          <a:noFill/>
          <a:ln w="9525">
            <a:noFill/>
            <a:miter lim="800000"/>
            <a:headEnd/>
            <a:tailEnd/>
          </a:ln>
        </xdr:spPr>
        <xdr:txBody>
          <a:bodyPr vertOverflow="clip" vert="wordArtVertRtl"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皮ムキ</a:t>
            </a:r>
            <a:endParaRPr lang="en-US" altLang="ja-JP" sz="1200" b="0" i="0" u="none" strike="noStrike" baseline="0">
              <a:solidFill>
                <a:srgbClr val="000000"/>
              </a:solidFill>
              <a:latin typeface="ＭＳ Ｐゴシック"/>
              <a:ea typeface="ＭＳ Ｐゴシック"/>
            </a:endParaRPr>
          </a:p>
          <a:p>
            <a:pPr algn="l" rtl="0">
              <a:defRPr sz="1000"/>
            </a:pPr>
            <a:r>
              <a:rPr lang="ja-JP" altLang="en-US" sz="1200" b="0" i="0" u="none" strike="noStrike" baseline="0">
                <a:solidFill>
                  <a:srgbClr val="000000"/>
                </a:solidFill>
                <a:latin typeface="ＭＳ Ｐゴシック"/>
                <a:ea typeface="ＭＳ Ｐゴシック"/>
              </a:rPr>
              <a:t>１号機</a:t>
            </a:r>
          </a:p>
        </xdr:txBody>
      </xdr:sp>
    </xdr:grpSp>
    <xdr:clientData/>
  </xdr:twoCellAnchor>
  <xdr:twoCellAnchor>
    <xdr:from>
      <xdr:col>55</xdr:col>
      <xdr:colOff>149223</xdr:colOff>
      <xdr:row>75</xdr:row>
      <xdr:rowOff>67252</xdr:rowOff>
    </xdr:from>
    <xdr:to>
      <xdr:col>78</xdr:col>
      <xdr:colOff>119623</xdr:colOff>
      <xdr:row>76</xdr:row>
      <xdr:rowOff>56752</xdr:rowOff>
    </xdr:to>
    <xdr:sp macro="" textlink="">
      <xdr:nvSpPr>
        <xdr:cNvPr id="128" name="正方形/長方形 127">
          <a:extLst>
            <a:ext uri="{FF2B5EF4-FFF2-40B4-BE49-F238E27FC236}">
              <a16:creationId xmlns:a16="http://schemas.microsoft.com/office/drawing/2014/main" xmlns="" id="{4E183082-A467-434A-8840-E1C155C0768E}"/>
            </a:ext>
          </a:extLst>
        </xdr:cNvPr>
        <xdr:cNvSpPr/>
      </xdr:nvSpPr>
      <xdr:spPr bwMode="auto">
        <a:xfrm>
          <a:off x="10309223" y="13956434"/>
          <a:ext cx="4219127" cy="185773"/>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ln>
              <a:solidFill>
                <a:sysClr val="windowText" lastClr="000000"/>
              </a:solidFill>
            </a:ln>
          </a:endParaRPr>
        </a:p>
      </xdr:txBody>
    </xdr:sp>
    <xdr:clientData/>
  </xdr:twoCellAnchor>
  <xdr:twoCellAnchor>
    <xdr:from>
      <xdr:col>50</xdr:col>
      <xdr:colOff>12700</xdr:colOff>
      <xdr:row>74</xdr:row>
      <xdr:rowOff>165100</xdr:rowOff>
    </xdr:from>
    <xdr:to>
      <xdr:col>55</xdr:col>
      <xdr:colOff>69950</xdr:colOff>
      <xdr:row>77</xdr:row>
      <xdr:rowOff>139700</xdr:rowOff>
    </xdr:to>
    <xdr:sp macro="" textlink="">
      <xdr:nvSpPr>
        <xdr:cNvPr id="129" name="正方形/長方形 128">
          <a:extLst>
            <a:ext uri="{FF2B5EF4-FFF2-40B4-BE49-F238E27FC236}">
              <a16:creationId xmlns:a16="http://schemas.microsoft.com/office/drawing/2014/main" xmlns="" id="{0397BF6D-FC23-44A0-813F-A0AE652A5F71}"/>
            </a:ext>
          </a:extLst>
        </xdr:cNvPr>
        <xdr:cNvSpPr/>
      </xdr:nvSpPr>
      <xdr:spPr bwMode="auto">
        <a:xfrm>
          <a:off x="9249064" y="13858009"/>
          <a:ext cx="980886" cy="563418"/>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ln>
              <a:solidFill>
                <a:sysClr val="windowText" lastClr="000000"/>
              </a:solidFill>
            </a:ln>
          </a:endParaRPr>
        </a:p>
      </xdr:txBody>
    </xdr:sp>
    <xdr:clientData/>
  </xdr:twoCellAnchor>
  <xdr:twoCellAnchor>
    <xdr:from>
      <xdr:col>27</xdr:col>
      <xdr:colOff>69850</xdr:colOff>
      <xdr:row>80</xdr:row>
      <xdr:rowOff>51378</xdr:rowOff>
    </xdr:from>
    <xdr:to>
      <xdr:col>28</xdr:col>
      <xdr:colOff>118650</xdr:colOff>
      <xdr:row>88</xdr:row>
      <xdr:rowOff>153151</xdr:rowOff>
    </xdr:to>
    <xdr:sp macro="" textlink="">
      <xdr:nvSpPr>
        <xdr:cNvPr id="130" name="Rectangle 601">
          <a:extLst>
            <a:ext uri="{FF2B5EF4-FFF2-40B4-BE49-F238E27FC236}">
              <a16:creationId xmlns:a16="http://schemas.microsoft.com/office/drawing/2014/main" xmlns="" id="{51B1D231-FA7F-4302-82A0-17337C36FA62}"/>
            </a:ext>
          </a:extLst>
        </xdr:cNvPr>
        <xdr:cNvSpPr>
          <a:spLocks noChangeArrowheads="1"/>
        </xdr:cNvSpPr>
      </xdr:nvSpPr>
      <xdr:spPr bwMode="auto">
        <a:xfrm>
          <a:off x="5057486" y="14921923"/>
          <a:ext cx="233528" cy="1671955"/>
        </a:xfrm>
        <a:prstGeom prst="rect">
          <a:avLst/>
        </a:prstGeom>
        <a:solidFill>
          <a:srgbClr val="FFFFFF"/>
        </a:solidFill>
        <a:ln w="9525">
          <a:solidFill>
            <a:srgbClr val="000000"/>
          </a:solidFill>
          <a:miter lim="800000"/>
          <a:headEnd/>
          <a:tailEnd/>
        </a:ln>
      </xdr:spPr>
    </xdr:sp>
    <xdr:clientData/>
  </xdr:twoCellAnchor>
  <xdr:twoCellAnchor>
    <xdr:from>
      <xdr:col>26</xdr:col>
      <xdr:colOff>184150</xdr:colOff>
      <xdr:row>49</xdr:row>
      <xdr:rowOff>111702</xdr:rowOff>
    </xdr:from>
    <xdr:to>
      <xdr:col>28</xdr:col>
      <xdr:colOff>150450</xdr:colOff>
      <xdr:row>58</xdr:row>
      <xdr:rowOff>102177</xdr:rowOff>
    </xdr:to>
    <xdr:sp macro="" textlink="">
      <xdr:nvSpPr>
        <xdr:cNvPr id="131" name="Rectangle 601">
          <a:extLst>
            <a:ext uri="{FF2B5EF4-FFF2-40B4-BE49-F238E27FC236}">
              <a16:creationId xmlns:a16="http://schemas.microsoft.com/office/drawing/2014/main" xmlns="" id="{99CB344E-3B19-41DC-B850-0F1EB9A92D77}"/>
            </a:ext>
          </a:extLst>
        </xdr:cNvPr>
        <xdr:cNvSpPr>
          <a:spLocks noChangeArrowheads="1"/>
        </xdr:cNvSpPr>
      </xdr:nvSpPr>
      <xdr:spPr bwMode="auto">
        <a:xfrm>
          <a:off x="4987059" y="8897793"/>
          <a:ext cx="335755" cy="1756929"/>
        </a:xfrm>
        <a:prstGeom prst="rect">
          <a:avLst/>
        </a:prstGeom>
        <a:solidFill>
          <a:srgbClr val="FFFFFF"/>
        </a:solidFill>
        <a:ln w="9525">
          <a:solidFill>
            <a:srgbClr val="000000"/>
          </a:solidFill>
          <a:miter lim="800000"/>
          <a:headEnd/>
          <a:tailEnd/>
        </a:ln>
      </xdr:spPr>
    </xdr:sp>
    <xdr:clientData/>
  </xdr:twoCellAnchor>
  <xdr:twoCellAnchor>
    <xdr:from>
      <xdr:col>50</xdr:col>
      <xdr:colOff>16907</xdr:colOff>
      <xdr:row>71</xdr:row>
      <xdr:rowOff>190500</xdr:rowOff>
    </xdr:from>
    <xdr:to>
      <xdr:col>53</xdr:col>
      <xdr:colOff>19307</xdr:colOff>
      <xdr:row>74</xdr:row>
      <xdr:rowOff>117228</xdr:rowOff>
    </xdr:to>
    <xdr:grpSp>
      <xdr:nvGrpSpPr>
        <xdr:cNvPr id="132" name="グループ化 131">
          <a:extLst>
            <a:ext uri="{FF2B5EF4-FFF2-40B4-BE49-F238E27FC236}">
              <a16:creationId xmlns:a16="http://schemas.microsoft.com/office/drawing/2014/main" xmlns="" id="{6DC9124A-AD9E-45FD-BE9F-B14D540C5C86}"/>
            </a:ext>
          </a:extLst>
        </xdr:cNvPr>
        <xdr:cNvGrpSpPr/>
      </xdr:nvGrpSpPr>
      <xdr:grpSpPr>
        <a:xfrm>
          <a:off x="9088336" y="13525500"/>
          <a:ext cx="546685" cy="525442"/>
          <a:chOff x="10176907" y="11684000"/>
          <a:chExt cx="612000" cy="504000"/>
        </a:xfrm>
      </xdr:grpSpPr>
      <xdr:sp macro="" textlink="">
        <xdr:nvSpPr>
          <xdr:cNvPr id="133" name="Rectangle 565">
            <a:extLst>
              <a:ext uri="{FF2B5EF4-FFF2-40B4-BE49-F238E27FC236}">
                <a16:creationId xmlns:a16="http://schemas.microsoft.com/office/drawing/2014/main" xmlns="" id="{3E167FC3-D684-EE40-DF82-087D64CD2345}"/>
              </a:ext>
            </a:extLst>
          </xdr:cNvPr>
          <xdr:cNvSpPr>
            <a:spLocks noChangeArrowheads="1"/>
          </xdr:cNvSpPr>
        </xdr:nvSpPr>
        <xdr:spPr bwMode="auto">
          <a:xfrm>
            <a:off x="10176907" y="11684000"/>
            <a:ext cx="612000" cy="504000"/>
          </a:xfrm>
          <a:prstGeom prst="rect">
            <a:avLst/>
          </a:prstGeom>
          <a:solidFill>
            <a:srgbClr val="FFFFFF"/>
          </a:solidFill>
          <a:ln w="9525">
            <a:solidFill>
              <a:srgbClr val="000000"/>
            </a:solidFill>
            <a:miter lim="800000"/>
            <a:headEnd/>
            <a:tailEnd/>
          </a:ln>
        </xdr:spPr>
      </xdr:sp>
      <xdr:sp macro="" textlink="">
        <xdr:nvSpPr>
          <xdr:cNvPr id="134" name="Text Box 569">
            <a:extLst>
              <a:ext uri="{FF2B5EF4-FFF2-40B4-BE49-F238E27FC236}">
                <a16:creationId xmlns:a16="http://schemas.microsoft.com/office/drawing/2014/main" xmlns="" id="{01D13C3E-FEB4-BA62-D502-CC140288BE3D}"/>
              </a:ext>
            </a:extLst>
          </xdr:cNvPr>
          <xdr:cNvSpPr txBox="1">
            <a:spLocks noChangeArrowheads="1"/>
          </xdr:cNvSpPr>
        </xdr:nvSpPr>
        <xdr:spPr bwMode="auto">
          <a:xfrm>
            <a:off x="10252075" y="11735881"/>
            <a:ext cx="461665" cy="400238"/>
          </a:xfrm>
          <a:prstGeom prst="rect">
            <a:avLst/>
          </a:prstGeom>
          <a:noFill/>
          <a:ln w="9525">
            <a:noFill/>
            <a:miter lim="800000"/>
            <a:headEnd/>
            <a:tailEnd/>
          </a:ln>
        </xdr:spPr>
        <xdr:txBody>
          <a:bodyPr vertOverflow="clip" wrap="none" lIns="0" tIns="0" rIns="0" bIns="0" anchor="t" upright="1">
            <a:spAutoFit/>
          </a:bodyPr>
          <a:lstStyle/>
          <a:p>
            <a:pPr algn="l" rtl="0">
              <a:defRPr sz="1000"/>
            </a:pPr>
            <a:r>
              <a:rPr lang="ja-JP" altLang="en-US" sz="1200" b="0" i="0" u="none" strike="noStrike" baseline="0">
                <a:solidFill>
                  <a:srgbClr val="000000"/>
                </a:solidFill>
                <a:latin typeface="ＭＳ Ｐゴシック"/>
                <a:ea typeface="ＭＳ Ｐゴシック"/>
              </a:rPr>
              <a:t>防水栓</a:t>
            </a:r>
            <a:endParaRPr lang="en-US" altLang="ja-JP" sz="1200" b="0" i="0" u="none" strike="noStrike" baseline="0">
              <a:solidFill>
                <a:srgbClr val="000000"/>
              </a:solidFill>
              <a:latin typeface="ＭＳ Ｐゴシック"/>
              <a:ea typeface="ＭＳ Ｐゴシック"/>
            </a:endParaRPr>
          </a:p>
          <a:p>
            <a:pPr algn="l" rtl="0">
              <a:defRPr sz="1000"/>
            </a:pPr>
            <a:r>
              <a:rPr lang="ja-JP" altLang="en-US" sz="1200" b="0" i="0" u="none" strike="noStrike" baseline="0">
                <a:solidFill>
                  <a:srgbClr val="000000"/>
                </a:solidFill>
                <a:latin typeface="ＭＳ Ｐゴシック"/>
                <a:ea typeface="ＭＳ Ｐゴシック"/>
              </a:rPr>
              <a:t>入れ</a:t>
            </a:r>
          </a:p>
        </xdr:txBody>
      </xdr:sp>
    </xdr:grpSp>
    <xdr:clientData/>
  </xdr:twoCellAnchor>
  <xdr:twoCellAnchor>
    <xdr:from>
      <xdr:col>62</xdr:col>
      <xdr:colOff>48694</xdr:colOff>
      <xdr:row>71</xdr:row>
      <xdr:rowOff>38678</xdr:rowOff>
    </xdr:from>
    <xdr:to>
      <xdr:col>64</xdr:col>
      <xdr:colOff>133110</xdr:colOff>
      <xdr:row>74</xdr:row>
      <xdr:rowOff>192950</xdr:rowOff>
    </xdr:to>
    <xdr:grpSp>
      <xdr:nvGrpSpPr>
        <xdr:cNvPr id="135" name="グループ化 134">
          <a:extLst>
            <a:ext uri="{FF2B5EF4-FFF2-40B4-BE49-F238E27FC236}">
              <a16:creationId xmlns:a16="http://schemas.microsoft.com/office/drawing/2014/main" xmlns="" id="{4A79D980-CC09-497D-B5D7-03AEA60749C5}"/>
            </a:ext>
          </a:extLst>
        </xdr:cNvPr>
        <xdr:cNvGrpSpPr/>
      </xdr:nvGrpSpPr>
      <xdr:grpSpPr>
        <a:xfrm>
          <a:off x="11297265" y="13373678"/>
          <a:ext cx="447274" cy="752986"/>
          <a:chOff x="11289262" y="11220450"/>
          <a:chExt cx="484466" cy="720000"/>
        </a:xfrm>
      </xdr:grpSpPr>
      <xdr:sp macro="" textlink="">
        <xdr:nvSpPr>
          <xdr:cNvPr id="136" name="Rectangle 544">
            <a:extLst>
              <a:ext uri="{FF2B5EF4-FFF2-40B4-BE49-F238E27FC236}">
                <a16:creationId xmlns:a16="http://schemas.microsoft.com/office/drawing/2014/main" xmlns="" id="{637BDD66-5ABE-1E07-3D55-48C37967B347}"/>
              </a:ext>
            </a:extLst>
          </xdr:cNvPr>
          <xdr:cNvSpPr>
            <a:spLocks noChangeArrowheads="1"/>
          </xdr:cNvSpPr>
        </xdr:nvSpPr>
        <xdr:spPr bwMode="auto">
          <a:xfrm>
            <a:off x="11309350" y="11220450"/>
            <a:ext cx="432000" cy="720000"/>
          </a:xfrm>
          <a:prstGeom prst="rect">
            <a:avLst/>
          </a:prstGeom>
          <a:solidFill>
            <a:srgbClr val="FFFFFF"/>
          </a:solidFill>
          <a:ln w="9525">
            <a:solidFill>
              <a:srgbClr val="000000"/>
            </a:solidFill>
            <a:miter lim="800000"/>
            <a:headEnd/>
            <a:tailEnd/>
          </a:ln>
        </xdr:spPr>
      </xdr:sp>
      <xdr:sp macro="" textlink="">
        <xdr:nvSpPr>
          <xdr:cNvPr id="137" name="Text Box 549">
            <a:extLst>
              <a:ext uri="{FF2B5EF4-FFF2-40B4-BE49-F238E27FC236}">
                <a16:creationId xmlns:a16="http://schemas.microsoft.com/office/drawing/2014/main" xmlns="" id="{AB335665-C06E-F55F-E232-E32A0EEF02A5}"/>
              </a:ext>
            </a:extLst>
          </xdr:cNvPr>
          <xdr:cNvSpPr txBox="1">
            <a:spLocks noChangeArrowheads="1"/>
          </xdr:cNvSpPr>
        </xdr:nvSpPr>
        <xdr:spPr bwMode="auto">
          <a:xfrm>
            <a:off x="11289262" y="11293475"/>
            <a:ext cx="484466" cy="584200"/>
          </a:xfrm>
          <a:prstGeom prst="rect">
            <a:avLst/>
          </a:prstGeom>
          <a:noFill/>
          <a:ln w="9525">
            <a:noFill/>
            <a:miter lim="800000"/>
            <a:headEnd/>
            <a:tailEnd/>
          </a:ln>
        </xdr:spPr>
        <xdr:txBody>
          <a:bodyPr vertOverflow="clip" vert="wordArtVertRtl"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皮ムキ</a:t>
            </a:r>
            <a:endParaRPr lang="en-US" altLang="ja-JP" sz="1200" b="0" i="0" u="none" strike="noStrike" baseline="0">
              <a:solidFill>
                <a:srgbClr val="000000"/>
              </a:solidFill>
              <a:latin typeface="ＭＳ Ｐゴシック"/>
              <a:ea typeface="ＭＳ Ｐゴシック"/>
            </a:endParaRPr>
          </a:p>
          <a:p>
            <a:pPr algn="l" rtl="0">
              <a:defRPr sz="1000"/>
            </a:pPr>
            <a:r>
              <a:rPr lang="ja-JP" altLang="en-US" sz="1200" b="0" i="0" u="none" strike="noStrike" baseline="0">
                <a:solidFill>
                  <a:srgbClr val="000000"/>
                </a:solidFill>
                <a:latin typeface="ＭＳ Ｐゴシック"/>
                <a:ea typeface="ＭＳ Ｐゴシック"/>
              </a:rPr>
              <a:t>２号機</a:t>
            </a:r>
          </a:p>
        </xdr:txBody>
      </xdr:sp>
    </xdr:grpSp>
    <xdr:clientData/>
  </xdr:twoCellAnchor>
  <xdr:twoCellAnchor>
    <xdr:from>
      <xdr:col>67</xdr:col>
      <xdr:colOff>149225</xdr:colOff>
      <xdr:row>71</xdr:row>
      <xdr:rowOff>38678</xdr:rowOff>
    </xdr:from>
    <xdr:to>
      <xdr:col>70</xdr:col>
      <xdr:colOff>30441</xdr:colOff>
      <xdr:row>74</xdr:row>
      <xdr:rowOff>192950</xdr:rowOff>
    </xdr:to>
    <xdr:grpSp>
      <xdr:nvGrpSpPr>
        <xdr:cNvPr id="138" name="グループ化 137">
          <a:extLst>
            <a:ext uri="{FF2B5EF4-FFF2-40B4-BE49-F238E27FC236}">
              <a16:creationId xmlns:a16="http://schemas.microsoft.com/office/drawing/2014/main" xmlns="" id="{D3D40A3B-7644-4D62-AD42-EA2AA6B9627D}"/>
            </a:ext>
          </a:extLst>
        </xdr:cNvPr>
        <xdr:cNvGrpSpPr/>
      </xdr:nvGrpSpPr>
      <xdr:grpSpPr>
        <a:xfrm>
          <a:off x="12304939" y="13373678"/>
          <a:ext cx="425502" cy="752986"/>
          <a:chOff x="11289262" y="11220450"/>
          <a:chExt cx="484466" cy="720000"/>
        </a:xfrm>
      </xdr:grpSpPr>
      <xdr:sp macro="" textlink="">
        <xdr:nvSpPr>
          <xdr:cNvPr id="139" name="Rectangle 544">
            <a:extLst>
              <a:ext uri="{FF2B5EF4-FFF2-40B4-BE49-F238E27FC236}">
                <a16:creationId xmlns:a16="http://schemas.microsoft.com/office/drawing/2014/main" xmlns="" id="{8C5CFFFF-E9C8-573F-AEE2-486C89FE65C0}"/>
              </a:ext>
            </a:extLst>
          </xdr:cNvPr>
          <xdr:cNvSpPr>
            <a:spLocks noChangeArrowheads="1"/>
          </xdr:cNvSpPr>
        </xdr:nvSpPr>
        <xdr:spPr bwMode="auto">
          <a:xfrm>
            <a:off x="11309350" y="11220450"/>
            <a:ext cx="432000" cy="720000"/>
          </a:xfrm>
          <a:prstGeom prst="rect">
            <a:avLst/>
          </a:prstGeom>
          <a:solidFill>
            <a:srgbClr val="FFFFFF"/>
          </a:solidFill>
          <a:ln w="9525">
            <a:solidFill>
              <a:srgbClr val="000000"/>
            </a:solidFill>
            <a:miter lim="800000"/>
            <a:headEnd/>
            <a:tailEnd/>
          </a:ln>
        </xdr:spPr>
      </xdr:sp>
      <xdr:sp macro="" textlink="">
        <xdr:nvSpPr>
          <xdr:cNvPr id="140" name="Text Box 549">
            <a:extLst>
              <a:ext uri="{FF2B5EF4-FFF2-40B4-BE49-F238E27FC236}">
                <a16:creationId xmlns:a16="http://schemas.microsoft.com/office/drawing/2014/main" xmlns="" id="{A15EEB09-A844-0F70-CE70-9AAA221D4EDB}"/>
              </a:ext>
            </a:extLst>
          </xdr:cNvPr>
          <xdr:cNvSpPr txBox="1">
            <a:spLocks noChangeArrowheads="1"/>
          </xdr:cNvSpPr>
        </xdr:nvSpPr>
        <xdr:spPr bwMode="auto">
          <a:xfrm>
            <a:off x="11289262" y="11293475"/>
            <a:ext cx="484466" cy="584200"/>
          </a:xfrm>
          <a:prstGeom prst="rect">
            <a:avLst/>
          </a:prstGeom>
          <a:noFill/>
          <a:ln w="9525">
            <a:noFill/>
            <a:miter lim="800000"/>
            <a:headEnd/>
            <a:tailEnd/>
          </a:ln>
        </xdr:spPr>
        <xdr:txBody>
          <a:bodyPr vertOverflow="clip" vert="wordArtVertRtl"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皮ムキ</a:t>
            </a:r>
            <a:endParaRPr lang="en-US" altLang="ja-JP" sz="1200" b="0" i="0" u="none" strike="noStrike" baseline="0">
              <a:solidFill>
                <a:srgbClr val="000000"/>
              </a:solidFill>
              <a:latin typeface="ＭＳ Ｐゴシック"/>
              <a:ea typeface="ＭＳ Ｐゴシック"/>
            </a:endParaRPr>
          </a:p>
          <a:p>
            <a:pPr algn="l" rtl="0">
              <a:defRPr sz="1000"/>
            </a:pPr>
            <a:r>
              <a:rPr lang="ja-JP" altLang="en-US" sz="1200" b="0" i="0" u="none" strike="noStrike" baseline="0">
                <a:solidFill>
                  <a:srgbClr val="000000"/>
                </a:solidFill>
                <a:latin typeface="ＭＳ Ｐゴシック"/>
                <a:ea typeface="ＭＳ Ｐゴシック"/>
              </a:rPr>
              <a:t>３号機</a:t>
            </a:r>
          </a:p>
        </xdr:txBody>
      </xdr:sp>
    </xdr:grpSp>
    <xdr:clientData/>
  </xdr:twoCellAnchor>
  <xdr:twoCellAnchor>
    <xdr:from>
      <xdr:col>75</xdr:col>
      <xdr:colOff>50800</xdr:colOff>
      <xdr:row>70</xdr:row>
      <xdr:rowOff>168276</xdr:rowOff>
    </xdr:from>
    <xdr:to>
      <xdr:col>77</xdr:col>
      <xdr:colOff>135216</xdr:colOff>
      <xdr:row>74</xdr:row>
      <xdr:rowOff>120503</xdr:rowOff>
    </xdr:to>
    <xdr:grpSp>
      <xdr:nvGrpSpPr>
        <xdr:cNvPr id="141" name="グループ化 140">
          <a:extLst>
            <a:ext uri="{FF2B5EF4-FFF2-40B4-BE49-F238E27FC236}">
              <a16:creationId xmlns:a16="http://schemas.microsoft.com/office/drawing/2014/main" xmlns="" id="{60557306-D057-433D-8149-7C17A8A5D416}"/>
            </a:ext>
          </a:extLst>
        </xdr:cNvPr>
        <xdr:cNvGrpSpPr/>
      </xdr:nvGrpSpPr>
      <xdr:grpSpPr>
        <a:xfrm>
          <a:off x="13657943" y="13303705"/>
          <a:ext cx="447273" cy="750512"/>
          <a:chOff x="11289262" y="11220450"/>
          <a:chExt cx="484466" cy="720000"/>
        </a:xfrm>
      </xdr:grpSpPr>
      <xdr:sp macro="" textlink="">
        <xdr:nvSpPr>
          <xdr:cNvPr id="142" name="Rectangle 544">
            <a:extLst>
              <a:ext uri="{FF2B5EF4-FFF2-40B4-BE49-F238E27FC236}">
                <a16:creationId xmlns:a16="http://schemas.microsoft.com/office/drawing/2014/main" xmlns="" id="{16BDDF7C-A764-B716-724D-575599F34FBA}"/>
              </a:ext>
            </a:extLst>
          </xdr:cNvPr>
          <xdr:cNvSpPr>
            <a:spLocks noChangeArrowheads="1"/>
          </xdr:cNvSpPr>
        </xdr:nvSpPr>
        <xdr:spPr bwMode="auto">
          <a:xfrm>
            <a:off x="11309350" y="11220450"/>
            <a:ext cx="432000" cy="720000"/>
          </a:xfrm>
          <a:prstGeom prst="rect">
            <a:avLst/>
          </a:prstGeom>
          <a:solidFill>
            <a:srgbClr val="FFFFFF"/>
          </a:solidFill>
          <a:ln w="9525">
            <a:solidFill>
              <a:srgbClr val="000000"/>
            </a:solidFill>
            <a:miter lim="800000"/>
            <a:headEnd/>
            <a:tailEnd/>
          </a:ln>
        </xdr:spPr>
      </xdr:sp>
      <xdr:sp macro="" textlink="">
        <xdr:nvSpPr>
          <xdr:cNvPr id="143" name="Text Box 549">
            <a:extLst>
              <a:ext uri="{FF2B5EF4-FFF2-40B4-BE49-F238E27FC236}">
                <a16:creationId xmlns:a16="http://schemas.microsoft.com/office/drawing/2014/main" xmlns="" id="{6D4B8A22-44B3-682B-D8B7-4C6F4F55015C}"/>
              </a:ext>
            </a:extLst>
          </xdr:cNvPr>
          <xdr:cNvSpPr txBox="1">
            <a:spLocks noChangeArrowheads="1"/>
          </xdr:cNvSpPr>
        </xdr:nvSpPr>
        <xdr:spPr bwMode="auto">
          <a:xfrm>
            <a:off x="11289262" y="11293475"/>
            <a:ext cx="484466" cy="584200"/>
          </a:xfrm>
          <a:prstGeom prst="rect">
            <a:avLst/>
          </a:prstGeom>
          <a:noFill/>
          <a:ln w="9525">
            <a:noFill/>
            <a:miter lim="800000"/>
            <a:headEnd/>
            <a:tailEnd/>
          </a:ln>
        </xdr:spPr>
        <xdr:txBody>
          <a:bodyPr vertOverflow="clip" vert="wordArtVertRtl"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収縮</a:t>
            </a:r>
            <a:endParaRPr lang="en-US" altLang="ja-JP" sz="1200" b="0" i="0" u="none" strike="noStrike" baseline="0">
              <a:solidFill>
                <a:srgbClr val="000000"/>
              </a:solidFill>
              <a:latin typeface="ＭＳ Ｐゴシック"/>
              <a:ea typeface="ＭＳ Ｐゴシック"/>
            </a:endParaRPr>
          </a:p>
          <a:p>
            <a:pPr algn="l" rtl="0">
              <a:defRPr sz="1000"/>
            </a:pPr>
            <a:r>
              <a:rPr lang="ja-JP" altLang="en-US" sz="1200" b="0" i="0" u="none" strike="noStrike" baseline="0">
                <a:solidFill>
                  <a:srgbClr val="000000"/>
                </a:solidFill>
                <a:latin typeface="ＭＳ Ｐゴシック"/>
                <a:ea typeface="ＭＳ Ｐゴシック"/>
              </a:rPr>
              <a:t>１号機</a:t>
            </a:r>
          </a:p>
        </xdr:txBody>
      </xdr:sp>
    </xdr:grpSp>
    <xdr:clientData/>
  </xdr:twoCellAnchor>
  <xdr:twoCellAnchor>
    <xdr:from>
      <xdr:col>64</xdr:col>
      <xdr:colOff>155575</xdr:colOff>
      <xdr:row>27</xdr:row>
      <xdr:rowOff>67253</xdr:rowOff>
    </xdr:from>
    <xdr:to>
      <xdr:col>68</xdr:col>
      <xdr:colOff>123825</xdr:colOff>
      <xdr:row>32</xdr:row>
      <xdr:rowOff>10102</xdr:rowOff>
    </xdr:to>
    <xdr:sp macro="" textlink="">
      <xdr:nvSpPr>
        <xdr:cNvPr id="144" name="Rectangle 913">
          <a:extLst>
            <a:ext uri="{FF2B5EF4-FFF2-40B4-BE49-F238E27FC236}">
              <a16:creationId xmlns:a16="http://schemas.microsoft.com/office/drawing/2014/main" xmlns="" id="{BE206808-865A-4F8D-B8AD-39675AE2111C}"/>
            </a:ext>
          </a:extLst>
        </xdr:cNvPr>
        <xdr:cNvSpPr>
          <a:spLocks noChangeArrowheads="1"/>
        </xdr:cNvSpPr>
      </xdr:nvSpPr>
      <xdr:spPr bwMode="auto">
        <a:xfrm>
          <a:off x="11978120" y="4535344"/>
          <a:ext cx="707160" cy="924213"/>
        </a:xfrm>
        <a:prstGeom prst="rect">
          <a:avLst/>
        </a:prstGeom>
        <a:noFill/>
        <a:ln w="3175">
          <a:solidFill>
            <a:srgbClr val="000000"/>
          </a:solidFill>
          <a:miter lim="800000"/>
          <a:headEnd/>
          <a:tailEnd/>
        </a:ln>
      </xdr:spPr>
    </xdr:sp>
    <xdr:clientData/>
  </xdr:twoCellAnchor>
  <xdr:twoCellAnchor>
    <xdr:from>
      <xdr:col>83</xdr:col>
      <xdr:colOff>146050</xdr:colOff>
      <xdr:row>68</xdr:row>
      <xdr:rowOff>127000</xdr:rowOff>
    </xdr:from>
    <xdr:to>
      <xdr:col>87</xdr:col>
      <xdr:colOff>120650</xdr:colOff>
      <xdr:row>73</xdr:row>
      <xdr:rowOff>64078</xdr:rowOff>
    </xdr:to>
    <xdr:sp macro="" textlink="">
      <xdr:nvSpPr>
        <xdr:cNvPr id="145" name="Rectangle 913">
          <a:extLst>
            <a:ext uri="{FF2B5EF4-FFF2-40B4-BE49-F238E27FC236}">
              <a16:creationId xmlns:a16="http://schemas.microsoft.com/office/drawing/2014/main" xmlns="" id="{61789CF2-7837-456B-85BB-345FC206ACB2}"/>
            </a:ext>
          </a:extLst>
        </xdr:cNvPr>
        <xdr:cNvSpPr>
          <a:spLocks noChangeArrowheads="1"/>
        </xdr:cNvSpPr>
      </xdr:nvSpPr>
      <xdr:spPr bwMode="auto">
        <a:xfrm>
          <a:off x="15478414" y="12642273"/>
          <a:ext cx="713509" cy="918441"/>
        </a:xfrm>
        <a:prstGeom prst="rect">
          <a:avLst/>
        </a:prstGeom>
        <a:noFill/>
        <a:ln w="3175">
          <a:solidFill>
            <a:srgbClr val="000000"/>
          </a:solidFill>
          <a:miter lim="800000"/>
          <a:headEnd/>
          <a:tailEnd/>
        </a:ln>
      </xdr:spPr>
    </xdr:sp>
    <xdr:clientData/>
  </xdr:twoCellAnchor>
  <xdr:twoCellAnchor>
    <xdr:from>
      <xdr:col>30</xdr:col>
      <xdr:colOff>15481</xdr:colOff>
      <xdr:row>39</xdr:row>
      <xdr:rowOff>129999</xdr:rowOff>
    </xdr:from>
    <xdr:to>
      <xdr:col>79</xdr:col>
      <xdr:colOff>96044</xdr:colOff>
      <xdr:row>89</xdr:row>
      <xdr:rowOff>35503</xdr:rowOff>
    </xdr:to>
    <xdr:grpSp>
      <xdr:nvGrpSpPr>
        <xdr:cNvPr id="146" name="グループ化 145">
          <a:extLst>
            <a:ext uri="{FF2B5EF4-FFF2-40B4-BE49-F238E27FC236}">
              <a16:creationId xmlns:a16="http://schemas.microsoft.com/office/drawing/2014/main" xmlns="" id="{9D0CF58F-606C-485F-994D-2DD45765EE24}"/>
            </a:ext>
          </a:extLst>
        </xdr:cNvPr>
        <xdr:cNvGrpSpPr/>
      </xdr:nvGrpSpPr>
      <xdr:grpSpPr>
        <a:xfrm>
          <a:off x="5458338" y="7078713"/>
          <a:ext cx="8970563" cy="9884076"/>
          <a:chOff x="5778943" y="4260674"/>
          <a:chExt cx="9876328" cy="9436276"/>
        </a:xfrm>
      </xdr:grpSpPr>
      <xdr:sp macro="" textlink="">
        <xdr:nvSpPr>
          <xdr:cNvPr id="147" name="Freeform 868">
            <a:extLst>
              <a:ext uri="{FF2B5EF4-FFF2-40B4-BE49-F238E27FC236}">
                <a16:creationId xmlns:a16="http://schemas.microsoft.com/office/drawing/2014/main" xmlns="" id="{3D9717CD-C419-65AC-1CD9-E45D33C75544}"/>
              </a:ext>
            </a:extLst>
          </xdr:cNvPr>
          <xdr:cNvSpPr>
            <a:spLocks/>
          </xdr:cNvSpPr>
        </xdr:nvSpPr>
        <xdr:spPr bwMode="auto">
          <a:xfrm>
            <a:off x="5778943" y="4260674"/>
            <a:ext cx="9876328" cy="9436276"/>
          </a:xfrm>
          <a:custGeom>
            <a:avLst/>
            <a:gdLst>
              <a:gd name="connsiteX0" fmla="*/ 0 w 10000"/>
              <a:gd name="connsiteY0" fmla="*/ 2496 h 10000"/>
              <a:gd name="connsiteX1" fmla="*/ 3486 w 10000"/>
              <a:gd name="connsiteY1" fmla="*/ 2512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65 w 10000"/>
              <a:gd name="connsiteY1" fmla="*/ 2534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35 w 10000"/>
              <a:gd name="connsiteY1" fmla="*/ 2360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43 w 10000"/>
              <a:gd name="connsiteY1" fmla="*/ 2491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743 w 10000"/>
              <a:gd name="connsiteY1" fmla="*/ 2382 h 10000"/>
              <a:gd name="connsiteX2" fmla="*/ 4589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20 w 10000"/>
              <a:gd name="connsiteY1" fmla="*/ 2387 h 10000"/>
              <a:gd name="connsiteX2" fmla="*/ 4743 w 10000"/>
              <a:gd name="connsiteY2" fmla="*/ 2382 h 10000"/>
              <a:gd name="connsiteX3" fmla="*/ 4589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20 w 10000"/>
              <a:gd name="connsiteY1" fmla="*/ 2387 h 10000"/>
              <a:gd name="connsiteX2" fmla="*/ 4634 w 10000"/>
              <a:gd name="connsiteY2" fmla="*/ 2382 h 10000"/>
              <a:gd name="connsiteX3" fmla="*/ 4589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20 w 10000"/>
              <a:gd name="connsiteY1" fmla="*/ 2387 h 10000"/>
              <a:gd name="connsiteX2" fmla="*/ 4634 w 10000"/>
              <a:gd name="connsiteY2" fmla="*/ 2382 h 10000"/>
              <a:gd name="connsiteX3" fmla="*/ 4628 w 10000"/>
              <a:gd name="connsiteY3" fmla="*/ 44 h 10000"/>
              <a:gd name="connsiteX4" fmla="*/ 6062 w 10000"/>
              <a:gd name="connsiteY4" fmla="*/ 0 h 10000"/>
              <a:gd name="connsiteX5" fmla="*/ 6068 w 10000"/>
              <a:gd name="connsiteY5" fmla="*/ 4454 h 10000"/>
              <a:gd name="connsiteX6" fmla="*/ 6383 w 10000"/>
              <a:gd name="connsiteY6" fmla="*/ 4486 h 10000"/>
              <a:gd name="connsiteX7" fmla="*/ 6383 w 10000"/>
              <a:gd name="connsiteY7" fmla="*/ 2969 h 10000"/>
              <a:gd name="connsiteX8" fmla="*/ 9994 w 10000"/>
              <a:gd name="connsiteY8" fmla="*/ 2953 h 10000"/>
              <a:gd name="connsiteX9" fmla="*/ 10000 w 10000"/>
              <a:gd name="connsiteY9" fmla="*/ 9967 h 10000"/>
              <a:gd name="connsiteX10" fmla="*/ 7936 w 10000"/>
              <a:gd name="connsiteY10" fmla="*/ 9951 h 10000"/>
              <a:gd name="connsiteX11" fmla="*/ 7930 w 10000"/>
              <a:gd name="connsiteY11" fmla="*/ 9315 h 10000"/>
              <a:gd name="connsiteX12" fmla="*/ 6371 w 10000"/>
              <a:gd name="connsiteY12" fmla="*/ 9347 h 10000"/>
              <a:gd name="connsiteX13" fmla="*/ 6377 w 10000"/>
              <a:gd name="connsiteY13" fmla="*/ 7569 h 10000"/>
              <a:gd name="connsiteX14" fmla="*/ 6062 w 10000"/>
              <a:gd name="connsiteY14" fmla="*/ 7553 h 10000"/>
              <a:gd name="connsiteX15" fmla="*/ 6068 w 10000"/>
              <a:gd name="connsiteY15" fmla="*/ 10000 h 10000"/>
              <a:gd name="connsiteX16" fmla="*/ 6 w 10000"/>
              <a:gd name="connsiteY16" fmla="*/ 9967 h 10000"/>
              <a:gd name="connsiteX0" fmla="*/ 0 w 10000"/>
              <a:gd name="connsiteY0" fmla="*/ 2496 h 10000"/>
              <a:gd name="connsiteX1" fmla="*/ 4634 w 10000"/>
              <a:gd name="connsiteY1" fmla="*/ 2382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0 w 10000"/>
              <a:gd name="connsiteY0" fmla="*/ 2496 h 10000"/>
              <a:gd name="connsiteX1" fmla="*/ 4634 w 10000"/>
              <a:gd name="connsiteY1" fmla="*/ 2491 h 10000"/>
              <a:gd name="connsiteX2" fmla="*/ 4628 w 10000"/>
              <a:gd name="connsiteY2" fmla="*/ 44 h 10000"/>
              <a:gd name="connsiteX3" fmla="*/ 6062 w 10000"/>
              <a:gd name="connsiteY3" fmla="*/ 0 h 10000"/>
              <a:gd name="connsiteX4" fmla="*/ 6068 w 10000"/>
              <a:gd name="connsiteY4" fmla="*/ 4454 h 10000"/>
              <a:gd name="connsiteX5" fmla="*/ 6383 w 10000"/>
              <a:gd name="connsiteY5" fmla="*/ 4486 h 10000"/>
              <a:gd name="connsiteX6" fmla="*/ 6383 w 10000"/>
              <a:gd name="connsiteY6" fmla="*/ 2969 h 10000"/>
              <a:gd name="connsiteX7" fmla="*/ 9994 w 10000"/>
              <a:gd name="connsiteY7" fmla="*/ 2953 h 10000"/>
              <a:gd name="connsiteX8" fmla="*/ 10000 w 10000"/>
              <a:gd name="connsiteY8" fmla="*/ 9967 h 10000"/>
              <a:gd name="connsiteX9" fmla="*/ 7936 w 10000"/>
              <a:gd name="connsiteY9" fmla="*/ 9951 h 10000"/>
              <a:gd name="connsiteX10" fmla="*/ 7930 w 10000"/>
              <a:gd name="connsiteY10" fmla="*/ 9315 h 10000"/>
              <a:gd name="connsiteX11" fmla="*/ 6371 w 10000"/>
              <a:gd name="connsiteY11" fmla="*/ 9347 h 10000"/>
              <a:gd name="connsiteX12" fmla="*/ 6377 w 10000"/>
              <a:gd name="connsiteY12" fmla="*/ 7569 h 10000"/>
              <a:gd name="connsiteX13" fmla="*/ 6062 w 10000"/>
              <a:gd name="connsiteY13" fmla="*/ 7553 h 10000"/>
              <a:gd name="connsiteX14" fmla="*/ 6068 w 10000"/>
              <a:gd name="connsiteY14" fmla="*/ 10000 h 10000"/>
              <a:gd name="connsiteX15" fmla="*/ 6 w 10000"/>
              <a:gd name="connsiteY15" fmla="*/ 9967 h 10000"/>
              <a:gd name="connsiteX0" fmla="*/ 2 w 9994"/>
              <a:gd name="connsiteY0" fmla="*/ 2387 h 10000"/>
              <a:gd name="connsiteX1" fmla="*/ 4628 w 9994"/>
              <a:gd name="connsiteY1" fmla="*/ 2491 h 10000"/>
              <a:gd name="connsiteX2" fmla="*/ 4622 w 9994"/>
              <a:gd name="connsiteY2" fmla="*/ 44 h 10000"/>
              <a:gd name="connsiteX3" fmla="*/ 6056 w 9994"/>
              <a:gd name="connsiteY3" fmla="*/ 0 h 10000"/>
              <a:gd name="connsiteX4" fmla="*/ 6062 w 9994"/>
              <a:gd name="connsiteY4" fmla="*/ 4454 h 10000"/>
              <a:gd name="connsiteX5" fmla="*/ 6377 w 9994"/>
              <a:gd name="connsiteY5" fmla="*/ 4486 h 10000"/>
              <a:gd name="connsiteX6" fmla="*/ 6377 w 9994"/>
              <a:gd name="connsiteY6" fmla="*/ 2969 h 10000"/>
              <a:gd name="connsiteX7" fmla="*/ 9988 w 9994"/>
              <a:gd name="connsiteY7" fmla="*/ 2953 h 10000"/>
              <a:gd name="connsiteX8" fmla="*/ 9994 w 9994"/>
              <a:gd name="connsiteY8" fmla="*/ 9967 h 10000"/>
              <a:gd name="connsiteX9" fmla="*/ 7930 w 9994"/>
              <a:gd name="connsiteY9" fmla="*/ 9951 h 10000"/>
              <a:gd name="connsiteX10" fmla="*/ 7924 w 9994"/>
              <a:gd name="connsiteY10" fmla="*/ 9315 h 10000"/>
              <a:gd name="connsiteX11" fmla="*/ 6365 w 9994"/>
              <a:gd name="connsiteY11" fmla="*/ 9347 h 10000"/>
              <a:gd name="connsiteX12" fmla="*/ 6371 w 9994"/>
              <a:gd name="connsiteY12" fmla="*/ 7569 h 10000"/>
              <a:gd name="connsiteX13" fmla="*/ 6056 w 9994"/>
              <a:gd name="connsiteY13" fmla="*/ 7553 h 10000"/>
              <a:gd name="connsiteX14" fmla="*/ 6062 w 9994"/>
              <a:gd name="connsiteY14" fmla="*/ 10000 h 10000"/>
              <a:gd name="connsiteX15" fmla="*/ 0 w 9994"/>
              <a:gd name="connsiteY15" fmla="*/ 9967 h 10000"/>
              <a:gd name="connsiteX0" fmla="*/ 2 w 10000"/>
              <a:gd name="connsiteY0" fmla="*/ 2387 h 10000"/>
              <a:gd name="connsiteX1" fmla="*/ 4631 w 10000"/>
              <a:gd name="connsiteY1" fmla="*/ 2404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31 w 10000"/>
              <a:gd name="connsiteY1" fmla="*/ 2404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25 w 10000"/>
              <a:gd name="connsiteY1" fmla="*/ 44 h 10000"/>
              <a:gd name="connsiteX2" fmla="*/ 6060 w 10000"/>
              <a:gd name="connsiteY2" fmla="*/ 0 h 10000"/>
              <a:gd name="connsiteX3" fmla="*/ 6066 w 10000"/>
              <a:gd name="connsiteY3" fmla="*/ 4454 h 10000"/>
              <a:gd name="connsiteX4" fmla="*/ 6381 w 10000"/>
              <a:gd name="connsiteY4" fmla="*/ 4486 h 10000"/>
              <a:gd name="connsiteX5" fmla="*/ 6381 w 10000"/>
              <a:gd name="connsiteY5" fmla="*/ 2969 h 10000"/>
              <a:gd name="connsiteX6" fmla="*/ 9994 w 10000"/>
              <a:gd name="connsiteY6" fmla="*/ 2953 h 10000"/>
              <a:gd name="connsiteX7" fmla="*/ 10000 w 10000"/>
              <a:gd name="connsiteY7" fmla="*/ 9967 h 10000"/>
              <a:gd name="connsiteX8" fmla="*/ 7935 w 10000"/>
              <a:gd name="connsiteY8" fmla="*/ 9951 h 10000"/>
              <a:gd name="connsiteX9" fmla="*/ 7929 w 10000"/>
              <a:gd name="connsiteY9" fmla="*/ 9315 h 10000"/>
              <a:gd name="connsiteX10" fmla="*/ 6369 w 10000"/>
              <a:gd name="connsiteY10" fmla="*/ 9347 h 10000"/>
              <a:gd name="connsiteX11" fmla="*/ 6375 w 10000"/>
              <a:gd name="connsiteY11" fmla="*/ 7569 h 10000"/>
              <a:gd name="connsiteX12" fmla="*/ 6060 w 10000"/>
              <a:gd name="connsiteY12" fmla="*/ 7553 h 10000"/>
              <a:gd name="connsiteX13" fmla="*/ 6066 w 10000"/>
              <a:gd name="connsiteY13" fmla="*/ 10000 h 10000"/>
              <a:gd name="connsiteX14" fmla="*/ 0 w 10000"/>
              <a:gd name="connsiteY14" fmla="*/ 9967 h 10000"/>
              <a:gd name="connsiteX0" fmla="*/ 2 w 10000"/>
              <a:gd name="connsiteY0" fmla="*/ 2387 h 10000"/>
              <a:gd name="connsiteX1" fmla="*/ 4615 w 10000"/>
              <a:gd name="connsiteY1" fmla="*/ 2365 h 10000"/>
              <a:gd name="connsiteX2" fmla="*/ 4625 w 10000"/>
              <a:gd name="connsiteY2" fmla="*/ 44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02 w 10000"/>
              <a:gd name="connsiteY2" fmla="*/ 66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33 w 10000"/>
              <a:gd name="connsiteY2" fmla="*/ 66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473 h 10086"/>
              <a:gd name="connsiteX1" fmla="*/ 4615 w 10000"/>
              <a:gd name="connsiteY1" fmla="*/ 2451 h 10086"/>
              <a:gd name="connsiteX2" fmla="*/ 4610 w 10000"/>
              <a:gd name="connsiteY2" fmla="*/ 0 h 10086"/>
              <a:gd name="connsiteX3" fmla="*/ 6060 w 10000"/>
              <a:gd name="connsiteY3" fmla="*/ 86 h 10086"/>
              <a:gd name="connsiteX4" fmla="*/ 6066 w 10000"/>
              <a:gd name="connsiteY4" fmla="*/ 4540 h 10086"/>
              <a:gd name="connsiteX5" fmla="*/ 6381 w 10000"/>
              <a:gd name="connsiteY5" fmla="*/ 4572 h 10086"/>
              <a:gd name="connsiteX6" fmla="*/ 6381 w 10000"/>
              <a:gd name="connsiteY6" fmla="*/ 3055 h 10086"/>
              <a:gd name="connsiteX7" fmla="*/ 9994 w 10000"/>
              <a:gd name="connsiteY7" fmla="*/ 3039 h 10086"/>
              <a:gd name="connsiteX8" fmla="*/ 10000 w 10000"/>
              <a:gd name="connsiteY8" fmla="*/ 10053 h 10086"/>
              <a:gd name="connsiteX9" fmla="*/ 7935 w 10000"/>
              <a:gd name="connsiteY9" fmla="*/ 10037 h 10086"/>
              <a:gd name="connsiteX10" fmla="*/ 7929 w 10000"/>
              <a:gd name="connsiteY10" fmla="*/ 9401 h 10086"/>
              <a:gd name="connsiteX11" fmla="*/ 6369 w 10000"/>
              <a:gd name="connsiteY11" fmla="*/ 9433 h 10086"/>
              <a:gd name="connsiteX12" fmla="*/ 6375 w 10000"/>
              <a:gd name="connsiteY12" fmla="*/ 7655 h 10086"/>
              <a:gd name="connsiteX13" fmla="*/ 6060 w 10000"/>
              <a:gd name="connsiteY13" fmla="*/ 7639 h 10086"/>
              <a:gd name="connsiteX14" fmla="*/ 6066 w 10000"/>
              <a:gd name="connsiteY14" fmla="*/ 10086 h 10086"/>
              <a:gd name="connsiteX15" fmla="*/ 0 w 10000"/>
              <a:gd name="connsiteY15" fmla="*/ 10053 h 10086"/>
              <a:gd name="connsiteX0" fmla="*/ 2 w 10000"/>
              <a:gd name="connsiteY0" fmla="*/ 2408 h 10021"/>
              <a:gd name="connsiteX1" fmla="*/ 4615 w 10000"/>
              <a:gd name="connsiteY1" fmla="*/ 2386 h 10021"/>
              <a:gd name="connsiteX2" fmla="*/ 4626 w 10000"/>
              <a:gd name="connsiteY2" fmla="*/ 0 h 10021"/>
              <a:gd name="connsiteX3" fmla="*/ 6060 w 10000"/>
              <a:gd name="connsiteY3" fmla="*/ 21 h 10021"/>
              <a:gd name="connsiteX4" fmla="*/ 6066 w 10000"/>
              <a:gd name="connsiteY4" fmla="*/ 4475 h 10021"/>
              <a:gd name="connsiteX5" fmla="*/ 6381 w 10000"/>
              <a:gd name="connsiteY5" fmla="*/ 4507 h 10021"/>
              <a:gd name="connsiteX6" fmla="*/ 6381 w 10000"/>
              <a:gd name="connsiteY6" fmla="*/ 2990 h 10021"/>
              <a:gd name="connsiteX7" fmla="*/ 9994 w 10000"/>
              <a:gd name="connsiteY7" fmla="*/ 2974 h 10021"/>
              <a:gd name="connsiteX8" fmla="*/ 10000 w 10000"/>
              <a:gd name="connsiteY8" fmla="*/ 9988 h 10021"/>
              <a:gd name="connsiteX9" fmla="*/ 7935 w 10000"/>
              <a:gd name="connsiteY9" fmla="*/ 9972 h 10021"/>
              <a:gd name="connsiteX10" fmla="*/ 7929 w 10000"/>
              <a:gd name="connsiteY10" fmla="*/ 9336 h 10021"/>
              <a:gd name="connsiteX11" fmla="*/ 6369 w 10000"/>
              <a:gd name="connsiteY11" fmla="*/ 9368 h 10021"/>
              <a:gd name="connsiteX12" fmla="*/ 6375 w 10000"/>
              <a:gd name="connsiteY12" fmla="*/ 7590 h 10021"/>
              <a:gd name="connsiteX13" fmla="*/ 6060 w 10000"/>
              <a:gd name="connsiteY13" fmla="*/ 7574 h 10021"/>
              <a:gd name="connsiteX14" fmla="*/ 6066 w 10000"/>
              <a:gd name="connsiteY14" fmla="*/ 10021 h 10021"/>
              <a:gd name="connsiteX15" fmla="*/ 0 w 10000"/>
              <a:gd name="connsiteY15" fmla="*/ 9988 h 10021"/>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375 w 10000"/>
              <a:gd name="connsiteY12" fmla="*/ 7569 h 10000"/>
              <a:gd name="connsiteX13" fmla="*/ 6060 w 10000"/>
              <a:gd name="connsiteY13" fmla="*/ 7553 h 10000"/>
              <a:gd name="connsiteX14" fmla="*/ 6066 w 10000"/>
              <a:gd name="connsiteY14" fmla="*/ 10000 h 10000"/>
              <a:gd name="connsiteX15" fmla="*/ 0 w 10000"/>
              <a:gd name="connsiteY15"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369 w 10000"/>
              <a:gd name="connsiteY11" fmla="*/ 9347 h 10000"/>
              <a:gd name="connsiteX12" fmla="*/ 6060 w 10000"/>
              <a:gd name="connsiteY12" fmla="*/ 7553 h 10000"/>
              <a:gd name="connsiteX13" fmla="*/ 6066 w 10000"/>
              <a:gd name="connsiteY13" fmla="*/ 10000 h 10000"/>
              <a:gd name="connsiteX14" fmla="*/ 0 w 10000"/>
              <a:gd name="connsiteY14"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7929 w 10000"/>
              <a:gd name="connsiteY10" fmla="*/ 9315 h 10000"/>
              <a:gd name="connsiteX11" fmla="*/ 6060 w 10000"/>
              <a:gd name="connsiteY11" fmla="*/ 7553 h 10000"/>
              <a:gd name="connsiteX12" fmla="*/ 6066 w 10000"/>
              <a:gd name="connsiteY12" fmla="*/ 10000 h 10000"/>
              <a:gd name="connsiteX13" fmla="*/ 0 w 10000"/>
              <a:gd name="connsiteY13"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7935 w 10000"/>
              <a:gd name="connsiteY9" fmla="*/ 9951 h 10000"/>
              <a:gd name="connsiteX10" fmla="*/ 6060 w 10000"/>
              <a:gd name="connsiteY10" fmla="*/ 7553 h 10000"/>
              <a:gd name="connsiteX11" fmla="*/ 6066 w 10000"/>
              <a:gd name="connsiteY11" fmla="*/ 10000 h 10000"/>
              <a:gd name="connsiteX12" fmla="*/ 0 w 10000"/>
              <a:gd name="connsiteY12" fmla="*/ 9967 h 10000"/>
              <a:gd name="connsiteX0" fmla="*/ 2 w 10000"/>
              <a:gd name="connsiteY0" fmla="*/ 2387 h 10000"/>
              <a:gd name="connsiteX1" fmla="*/ 4615 w 10000"/>
              <a:gd name="connsiteY1" fmla="*/ 2365 h 10000"/>
              <a:gd name="connsiteX2" fmla="*/ 4610 w 10000"/>
              <a:gd name="connsiteY2" fmla="*/ 1 h 10000"/>
              <a:gd name="connsiteX3" fmla="*/ 6060 w 10000"/>
              <a:gd name="connsiteY3" fmla="*/ 0 h 10000"/>
              <a:gd name="connsiteX4" fmla="*/ 6066 w 10000"/>
              <a:gd name="connsiteY4" fmla="*/ 4454 h 10000"/>
              <a:gd name="connsiteX5" fmla="*/ 6381 w 10000"/>
              <a:gd name="connsiteY5" fmla="*/ 4486 h 10000"/>
              <a:gd name="connsiteX6" fmla="*/ 6381 w 10000"/>
              <a:gd name="connsiteY6" fmla="*/ 2969 h 10000"/>
              <a:gd name="connsiteX7" fmla="*/ 9994 w 10000"/>
              <a:gd name="connsiteY7" fmla="*/ 2953 h 10000"/>
              <a:gd name="connsiteX8" fmla="*/ 10000 w 10000"/>
              <a:gd name="connsiteY8" fmla="*/ 9967 h 10000"/>
              <a:gd name="connsiteX9" fmla="*/ 6060 w 10000"/>
              <a:gd name="connsiteY9" fmla="*/ 7553 h 10000"/>
              <a:gd name="connsiteX10" fmla="*/ 6066 w 10000"/>
              <a:gd name="connsiteY10" fmla="*/ 10000 h 10000"/>
              <a:gd name="connsiteX11" fmla="*/ 0 w 10000"/>
              <a:gd name="connsiteY11" fmla="*/ 9967 h 10000"/>
              <a:gd name="connsiteX0" fmla="*/ 2 w 9994"/>
              <a:gd name="connsiteY0" fmla="*/ 2387 h 10000"/>
              <a:gd name="connsiteX1" fmla="*/ 4615 w 9994"/>
              <a:gd name="connsiteY1" fmla="*/ 2365 h 10000"/>
              <a:gd name="connsiteX2" fmla="*/ 4610 w 9994"/>
              <a:gd name="connsiteY2" fmla="*/ 1 h 10000"/>
              <a:gd name="connsiteX3" fmla="*/ 6060 w 9994"/>
              <a:gd name="connsiteY3" fmla="*/ 0 h 10000"/>
              <a:gd name="connsiteX4" fmla="*/ 6066 w 9994"/>
              <a:gd name="connsiteY4" fmla="*/ 4454 h 10000"/>
              <a:gd name="connsiteX5" fmla="*/ 6381 w 9994"/>
              <a:gd name="connsiteY5" fmla="*/ 4486 h 10000"/>
              <a:gd name="connsiteX6" fmla="*/ 6381 w 9994"/>
              <a:gd name="connsiteY6" fmla="*/ 2969 h 10000"/>
              <a:gd name="connsiteX7" fmla="*/ 9994 w 9994"/>
              <a:gd name="connsiteY7" fmla="*/ 2953 h 10000"/>
              <a:gd name="connsiteX8" fmla="*/ 6060 w 9994"/>
              <a:gd name="connsiteY8" fmla="*/ 7553 h 10000"/>
              <a:gd name="connsiteX9" fmla="*/ 6066 w 9994"/>
              <a:gd name="connsiteY9" fmla="*/ 10000 h 10000"/>
              <a:gd name="connsiteX10" fmla="*/ 0 w 9994"/>
              <a:gd name="connsiteY10" fmla="*/ 9967 h 10000"/>
              <a:gd name="connsiteX0" fmla="*/ 2 w 6385"/>
              <a:gd name="connsiteY0" fmla="*/ 2387 h 10000"/>
              <a:gd name="connsiteX1" fmla="*/ 4618 w 6385"/>
              <a:gd name="connsiteY1" fmla="*/ 2365 h 10000"/>
              <a:gd name="connsiteX2" fmla="*/ 4613 w 6385"/>
              <a:gd name="connsiteY2" fmla="*/ 1 h 10000"/>
              <a:gd name="connsiteX3" fmla="*/ 6064 w 6385"/>
              <a:gd name="connsiteY3" fmla="*/ 0 h 10000"/>
              <a:gd name="connsiteX4" fmla="*/ 6070 w 6385"/>
              <a:gd name="connsiteY4" fmla="*/ 4454 h 10000"/>
              <a:gd name="connsiteX5" fmla="*/ 6385 w 6385"/>
              <a:gd name="connsiteY5" fmla="*/ 4486 h 10000"/>
              <a:gd name="connsiteX6" fmla="*/ 6385 w 6385"/>
              <a:gd name="connsiteY6" fmla="*/ 2969 h 10000"/>
              <a:gd name="connsiteX7" fmla="*/ 6064 w 6385"/>
              <a:gd name="connsiteY7" fmla="*/ 7553 h 10000"/>
              <a:gd name="connsiteX8" fmla="*/ 6070 w 6385"/>
              <a:gd name="connsiteY8" fmla="*/ 10000 h 10000"/>
              <a:gd name="connsiteX9" fmla="*/ 0 w 6385"/>
              <a:gd name="connsiteY9" fmla="*/ 9967 h 10000"/>
              <a:gd name="connsiteX0" fmla="*/ 3 w 10000"/>
              <a:gd name="connsiteY0" fmla="*/ 2387 h 10000"/>
              <a:gd name="connsiteX1" fmla="*/ 7233 w 10000"/>
              <a:gd name="connsiteY1" fmla="*/ 2365 h 10000"/>
              <a:gd name="connsiteX2" fmla="*/ 7225 w 10000"/>
              <a:gd name="connsiteY2" fmla="*/ 1 h 10000"/>
              <a:gd name="connsiteX3" fmla="*/ 9497 w 10000"/>
              <a:gd name="connsiteY3" fmla="*/ 0 h 10000"/>
              <a:gd name="connsiteX4" fmla="*/ 9507 w 10000"/>
              <a:gd name="connsiteY4" fmla="*/ 4454 h 10000"/>
              <a:gd name="connsiteX5" fmla="*/ 10000 w 10000"/>
              <a:gd name="connsiteY5" fmla="*/ 4486 h 10000"/>
              <a:gd name="connsiteX6" fmla="*/ 9497 w 10000"/>
              <a:gd name="connsiteY6" fmla="*/ 7553 h 10000"/>
              <a:gd name="connsiteX7" fmla="*/ 9507 w 10000"/>
              <a:gd name="connsiteY7" fmla="*/ 10000 h 10000"/>
              <a:gd name="connsiteX8" fmla="*/ 0 w 10000"/>
              <a:gd name="connsiteY8" fmla="*/ 9967 h 10000"/>
              <a:gd name="connsiteX0" fmla="*/ 3 w 9507"/>
              <a:gd name="connsiteY0" fmla="*/ 2387 h 10000"/>
              <a:gd name="connsiteX1" fmla="*/ 7233 w 9507"/>
              <a:gd name="connsiteY1" fmla="*/ 2365 h 10000"/>
              <a:gd name="connsiteX2" fmla="*/ 7225 w 9507"/>
              <a:gd name="connsiteY2" fmla="*/ 1 h 10000"/>
              <a:gd name="connsiteX3" fmla="*/ 9497 w 9507"/>
              <a:gd name="connsiteY3" fmla="*/ 0 h 10000"/>
              <a:gd name="connsiteX4" fmla="*/ 9507 w 9507"/>
              <a:gd name="connsiteY4" fmla="*/ 4454 h 10000"/>
              <a:gd name="connsiteX5" fmla="*/ 9497 w 9507"/>
              <a:gd name="connsiteY5" fmla="*/ 7553 h 10000"/>
              <a:gd name="connsiteX6" fmla="*/ 9507 w 9507"/>
              <a:gd name="connsiteY6" fmla="*/ 10000 h 10000"/>
              <a:gd name="connsiteX7" fmla="*/ 0 w 9507"/>
              <a:gd name="connsiteY7" fmla="*/ 9967 h 10000"/>
              <a:gd name="connsiteX0" fmla="*/ 3 w 10000"/>
              <a:gd name="connsiteY0" fmla="*/ 2387 h 10000"/>
              <a:gd name="connsiteX1" fmla="*/ 3698 w 10000"/>
              <a:gd name="connsiteY1" fmla="*/ 2387 h 10000"/>
              <a:gd name="connsiteX2" fmla="*/ 7608 w 10000"/>
              <a:gd name="connsiteY2" fmla="*/ 2365 h 10000"/>
              <a:gd name="connsiteX3" fmla="*/ 7600 w 10000"/>
              <a:gd name="connsiteY3" fmla="*/ 1 h 10000"/>
              <a:gd name="connsiteX4" fmla="*/ 9989 w 10000"/>
              <a:gd name="connsiteY4" fmla="*/ 0 h 10000"/>
              <a:gd name="connsiteX5" fmla="*/ 10000 w 10000"/>
              <a:gd name="connsiteY5" fmla="*/ 4454 h 10000"/>
              <a:gd name="connsiteX6" fmla="*/ 9989 w 10000"/>
              <a:gd name="connsiteY6" fmla="*/ 7553 h 10000"/>
              <a:gd name="connsiteX7" fmla="*/ 10000 w 10000"/>
              <a:gd name="connsiteY7" fmla="*/ 10000 h 10000"/>
              <a:gd name="connsiteX8" fmla="*/ 0 w 10000"/>
              <a:gd name="connsiteY8" fmla="*/ 9967 h 10000"/>
              <a:gd name="connsiteX0" fmla="*/ 3 w 10000"/>
              <a:gd name="connsiteY0" fmla="*/ 2387 h 10000"/>
              <a:gd name="connsiteX1" fmla="*/ 3698 w 10000"/>
              <a:gd name="connsiteY1" fmla="*/ 2387 h 10000"/>
              <a:gd name="connsiteX2" fmla="*/ 7608 w 10000"/>
              <a:gd name="connsiteY2" fmla="*/ 2365 h 10000"/>
              <a:gd name="connsiteX3" fmla="*/ 6608 w 10000"/>
              <a:gd name="connsiteY3" fmla="*/ 2372 h 10000"/>
              <a:gd name="connsiteX4" fmla="*/ 9989 w 10000"/>
              <a:gd name="connsiteY4" fmla="*/ 0 h 10000"/>
              <a:gd name="connsiteX5" fmla="*/ 10000 w 10000"/>
              <a:gd name="connsiteY5" fmla="*/ 4454 h 10000"/>
              <a:gd name="connsiteX6" fmla="*/ 9989 w 10000"/>
              <a:gd name="connsiteY6" fmla="*/ 7553 h 10000"/>
              <a:gd name="connsiteX7" fmla="*/ 10000 w 10000"/>
              <a:gd name="connsiteY7" fmla="*/ 10000 h 10000"/>
              <a:gd name="connsiteX8" fmla="*/ 0 w 10000"/>
              <a:gd name="connsiteY8" fmla="*/ 9967 h 10000"/>
              <a:gd name="connsiteX0" fmla="*/ 3 w 10044"/>
              <a:gd name="connsiteY0" fmla="*/ 796 h 8409"/>
              <a:gd name="connsiteX1" fmla="*/ 3698 w 10044"/>
              <a:gd name="connsiteY1" fmla="*/ 796 h 8409"/>
              <a:gd name="connsiteX2" fmla="*/ 7608 w 10044"/>
              <a:gd name="connsiteY2" fmla="*/ 774 h 8409"/>
              <a:gd name="connsiteX3" fmla="*/ 6608 w 10044"/>
              <a:gd name="connsiteY3" fmla="*/ 781 h 8409"/>
              <a:gd name="connsiteX4" fmla="*/ 10040 w 10044"/>
              <a:gd name="connsiteY4" fmla="*/ 823 h 8409"/>
              <a:gd name="connsiteX5" fmla="*/ 10000 w 10044"/>
              <a:gd name="connsiteY5" fmla="*/ 2863 h 8409"/>
              <a:gd name="connsiteX6" fmla="*/ 9989 w 10044"/>
              <a:gd name="connsiteY6" fmla="*/ 5962 h 8409"/>
              <a:gd name="connsiteX7" fmla="*/ 10000 w 10044"/>
              <a:gd name="connsiteY7" fmla="*/ 8409 h 8409"/>
              <a:gd name="connsiteX8" fmla="*/ 0 w 10044"/>
              <a:gd name="connsiteY8" fmla="*/ 8376 h 8409"/>
              <a:gd name="connsiteX0" fmla="*/ 3 w 10000"/>
              <a:gd name="connsiteY0" fmla="*/ 947 h 10000"/>
              <a:gd name="connsiteX1" fmla="*/ 3682 w 10000"/>
              <a:gd name="connsiteY1" fmla="*/ 947 h 10000"/>
              <a:gd name="connsiteX2" fmla="*/ 7575 w 10000"/>
              <a:gd name="connsiteY2" fmla="*/ 920 h 10000"/>
              <a:gd name="connsiteX3" fmla="*/ 6579 w 10000"/>
              <a:gd name="connsiteY3" fmla="*/ 929 h 10000"/>
              <a:gd name="connsiteX4" fmla="*/ 9996 w 10000"/>
              <a:gd name="connsiteY4" fmla="*/ 979 h 10000"/>
              <a:gd name="connsiteX5" fmla="*/ 9956 w 10000"/>
              <a:gd name="connsiteY5" fmla="*/ 3405 h 10000"/>
              <a:gd name="connsiteX6" fmla="*/ 9945 w 10000"/>
              <a:gd name="connsiteY6" fmla="*/ 7090 h 10000"/>
              <a:gd name="connsiteX7" fmla="*/ 9956 w 10000"/>
              <a:gd name="connsiteY7" fmla="*/ 10000 h 10000"/>
              <a:gd name="connsiteX8" fmla="*/ 0 w 10000"/>
              <a:gd name="connsiteY8" fmla="*/ 9961 h 10000"/>
              <a:gd name="connsiteX0" fmla="*/ 3 w 10000"/>
              <a:gd name="connsiteY0" fmla="*/ 8293 h 17346"/>
              <a:gd name="connsiteX1" fmla="*/ 3682 w 10000"/>
              <a:gd name="connsiteY1" fmla="*/ 8293 h 17346"/>
              <a:gd name="connsiteX2" fmla="*/ 6714 w 10000"/>
              <a:gd name="connsiteY2" fmla="*/ 920 h 17346"/>
              <a:gd name="connsiteX3" fmla="*/ 6579 w 10000"/>
              <a:gd name="connsiteY3" fmla="*/ 8275 h 17346"/>
              <a:gd name="connsiteX4" fmla="*/ 9996 w 10000"/>
              <a:gd name="connsiteY4" fmla="*/ 8325 h 17346"/>
              <a:gd name="connsiteX5" fmla="*/ 9956 w 10000"/>
              <a:gd name="connsiteY5" fmla="*/ 10751 h 17346"/>
              <a:gd name="connsiteX6" fmla="*/ 9945 w 10000"/>
              <a:gd name="connsiteY6" fmla="*/ 14436 h 17346"/>
              <a:gd name="connsiteX7" fmla="*/ 9956 w 10000"/>
              <a:gd name="connsiteY7" fmla="*/ 17346 h 17346"/>
              <a:gd name="connsiteX8" fmla="*/ 0 w 10000"/>
              <a:gd name="connsiteY8" fmla="*/ 17307 h 17346"/>
              <a:gd name="connsiteX0" fmla="*/ 3 w 10000"/>
              <a:gd name="connsiteY0" fmla="*/ 8293 h 17346"/>
              <a:gd name="connsiteX1" fmla="*/ 3682 w 10000"/>
              <a:gd name="connsiteY1" fmla="*/ 8293 h 17346"/>
              <a:gd name="connsiteX2" fmla="*/ 6714 w 10000"/>
              <a:gd name="connsiteY2" fmla="*/ 920 h 17346"/>
              <a:gd name="connsiteX3" fmla="*/ 6731 w 10000"/>
              <a:gd name="connsiteY3" fmla="*/ 8275 h 17346"/>
              <a:gd name="connsiteX4" fmla="*/ 9996 w 10000"/>
              <a:gd name="connsiteY4" fmla="*/ 8325 h 17346"/>
              <a:gd name="connsiteX5" fmla="*/ 9956 w 10000"/>
              <a:gd name="connsiteY5" fmla="*/ 10751 h 17346"/>
              <a:gd name="connsiteX6" fmla="*/ 9945 w 10000"/>
              <a:gd name="connsiteY6" fmla="*/ 14436 h 17346"/>
              <a:gd name="connsiteX7" fmla="*/ 9956 w 10000"/>
              <a:gd name="connsiteY7" fmla="*/ 17346 h 17346"/>
              <a:gd name="connsiteX8" fmla="*/ 0 w 10000"/>
              <a:gd name="connsiteY8" fmla="*/ 17307 h 17346"/>
              <a:gd name="connsiteX0" fmla="*/ 3 w 10000"/>
              <a:gd name="connsiteY0" fmla="*/ 8293 h 17346"/>
              <a:gd name="connsiteX1" fmla="*/ 3682 w 10000"/>
              <a:gd name="connsiteY1" fmla="*/ 8293 h 17346"/>
              <a:gd name="connsiteX2" fmla="*/ 5163 w 10000"/>
              <a:gd name="connsiteY2" fmla="*/ 4672 h 17346"/>
              <a:gd name="connsiteX3" fmla="*/ 6714 w 10000"/>
              <a:gd name="connsiteY3" fmla="*/ 920 h 17346"/>
              <a:gd name="connsiteX4" fmla="*/ 6731 w 10000"/>
              <a:gd name="connsiteY4" fmla="*/ 8275 h 17346"/>
              <a:gd name="connsiteX5" fmla="*/ 9996 w 10000"/>
              <a:gd name="connsiteY5" fmla="*/ 8325 h 17346"/>
              <a:gd name="connsiteX6" fmla="*/ 9956 w 10000"/>
              <a:gd name="connsiteY6" fmla="*/ 10751 h 17346"/>
              <a:gd name="connsiteX7" fmla="*/ 9945 w 10000"/>
              <a:gd name="connsiteY7" fmla="*/ 14436 h 17346"/>
              <a:gd name="connsiteX8" fmla="*/ 9956 w 10000"/>
              <a:gd name="connsiteY8" fmla="*/ 17346 h 17346"/>
              <a:gd name="connsiteX9" fmla="*/ 0 w 10000"/>
              <a:gd name="connsiteY9" fmla="*/ 17307 h 17346"/>
              <a:gd name="connsiteX0" fmla="*/ 3 w 10000"/>
              <a:gd name="connsiteY0" fmla="*/ 8293 h 17346"/>
              <a:gd name="connsiteX1" fmla="*/ 3682 w 10000"/>
              <a:gd name="connsiteY1" fmla="*/ 8293 h 17346"/>
              <a:gd name="connsiteX2" fmla="*/ 3681 w 10000"/>
              <a:gd name="connsiteY2" fmla="*/ 973 h 17346"/>
              <a:gd name="connsiteX3" fmla="*/ 6714 w 10000"/>
              <a:gd name="connsiteY3" fmla="*/ 920 h 17346"/>
              <a:gd name="connsiteX4" fmla="*/ 6731 w 10000"/>
              <a:gd name="connsiteY4" fmla="*/ 8275 h 17346"/>
              <a:gd name="connsiteX5" fmla="*/ 9996 w 10000"/>
              <a:gd name="connsiteY5" fmla="*/ 8325 h 17346"/>
              <a:gd name="connsiteX6" fmla="*/ 9956 w 10000"/>
              <a:gd name="connsiteY6" fmla="*/ 10751 h 17346"/>
              <a:gd name="connsiteX7" fmla="*/ 9945 w 10000"/>
              <a:gd name="connsiteY7" fmla="*/ 14436 h 17346"/>
              <a:gd name="connsiteX8" fmla="*/ 9956 w 10000"/>
              <a:gd name="connsiteY8" fmla="*/ 17346 h 17346"/>
              <a:gd name="connsiteX9" fmla="*/ 0 w 10000"/>
              <a:gd name="connsiteY9" fmla="*/ 17307 h 17346"/>
              <a:gd name="connsiteX0" fmla="*/ 6 w 10003"/>
              <a:gd name="connsiteY0" fmla="*/ 12605 h 21658"/>
              <a:gd name="connsiteX1" fmla="*/ 0 w 10003"/>
              <a:gd name="connsiteY1" fmla="*/ 2440 h 21658"/>
              <a:gd name="connsiteX2" fmla="*/ 3684 w 10003"/>
              <a:gd name="connsiteY2" fmla="*/ 5285 h 21658"/>
              <a:gd name="connsiteX3" fmla="*/ 6717 w 10003"/>
              <a:gd name="connsiteY3" fmla="*/ 5232 h 21658"/>
              <a:gd name="connsiteX4" fmla="*/ 6734 w 10003"/>
              <a:gd name="connsiteY4" fmla="*/ 12587 h 21658"/>
              <a:gd name="connsiteX5" fmla="*/ 9999 w 10003"/>
              <a:gd name="connsiteY5" fmla="*/ 12637 h 21658"/>
              <a:gd name="connsiteX6" fmla="*/ 9959 w 10003"/>
              <a:gd name="connsiteY6" fmla="*/ 15063 h 21658"/>
              <a:gd name="connsiteX7" fmla="*/ 9948 w 10003"/>
              <a:gd name="connsiteY7" fmla="*/ 18748 h 21658"/>
              <a:gd name="connsiteX8" fmla="*/ 9959 w 10003"/>
              <a:gd name="connsiteY8" fmla="*/ 21658 h 21658"/>
              <a:gd name="connsiteX9" fmla="*/ 3 w 10003"/>
              <a:gd name="connsiteY9" fmla="*/ 21619 h 21658"/>
              <a:gd name="connsiteX0" fmla="*/ 6 w 10003"/>
              <a:gd name="connsiteY0" fmla="*/ 11652 h 20705"/>
              <a:gd name="connsiteX1" fmla="*/ 0 w 10003"/>
              <a:gd name="connsiteY1" fmla="*/ 1487 h 20705"/>
              <a:gd name="connsiteX2" fmla="*/ 1722 w 10003"/>
              <a:gd name="connsiteY2" fmla="*/ 2728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1652 h 20705"/>
              <a:gd name="connsiteX1" fmla="*/ 0 w 10003"/>
              <a:gd name="connsiteY1" fmla="*/ 1487 h 20705"/>
              <a:gd name="connsiteX2" fmla="*/ 3647 w 10003"/>
              <a:gd name="connsiteY2" fmla="*/ 1564 h 20705"/>
              <a:gd name="connsiteX3" fmla="*/ 3684 w 10003"/>
              <a:gd name="connsiteY3" fmla="*/ 4332 h 20705"/>
              <a:gd name="connsiteX4" fmla="*/ 6717 w 10003"/>
              <a:gd name="connsiteY4" fmla="*/ 4279 h 20705"/>
              <a:gd name="connsiteX5" fmla="*/ 6734 w 10003"/>
              <a:gd name="connsiteY5" fmla="*/ 11634 h 20705"/>
              <a:gd name="connsiteX6" fmla="*/ 9999 w 10003"/>
              <a:gd name="connsiteY6" fmla="*/ 11684 h 20705"/>
              <a:gd name="connsiteX7" fmla="*/ 9959 w 10003"/>
              <a:gd name="connsiteY7" fmla="*/ 14110 h 20705"/>
              <a:gd name="connsiteX8" fmla="*/ 9948 w 10003"/>
              <a:gd name="connsiteY8" fmla="*/ 17795 h 20705"/>
              <a:gd name="connsiteX9" fmla="*/ 9959 w 10003"/>
              <a:gd name="connsiteY9" fmla="*/ 20705 h 20705"/>
              <a:gd name="connsiteX10" fmla="*/ 3 w 10003"/>
              <a:gd name="connsiteY10" fmla="*/ 20666 h 20705"/>
              <a:gd name="connsiteX0" fmla="*/ 6 w 10003"/>
              <a:gd name="connsiteY0" fmla="*/ 10165 h 19218"/>
              <a:gd name="connsiteX1" fmla="*/ 0 w 10003"/>
              <a:gd name="connsiteY1" fmla="*/ 0 h 19218"/>
              <a:gd name="connsiteX2" fmla="*/ 3647 w 10003"/>
              <a:gd name="connsiteY2" fmla="*/ 77 h 19218"/>
              <a:gd name="connsiteX3" fmla="*/ 3684 w 10003"/>
              <a:gd name="connsiteY3" fmla="*/ 2845 h 19218"/>
              <a:gd name="connsiteX4" fmla="*/ 6717 w 10003"/>
              <a:gd name="connsiteY4" fmla="*/ 2792 h 19218"/>
              <a:gd name="connsiteX5" fmla="*/ 6734 w 10003"/>
              <a:gd name="connsiteY5" fmla="*/ 10147 h 19218"/>
              <a:gd name="connsiteX6" fmla="*/ 9999 w 10003"/>
              <a:gd name="connsiteY6" fmla="*/ 10197 h 19218"/>
              <a:gd name="connsiteX7" fmla="*/ 9959 w 10003"/>
              <a:gd name="connsiteY7" fmla="*/ 12623 h 19218"/>
              <a:gd name="connsiteX8" fmla="*/ 9948 w 10003"/>
              <a:gd name="connsiteY8" fmla="*/ 16308 h 19218"/>
              <a:gd name="connsiteX9" fmla="*/ 9959 w 10003"/>
              <a:gd name="connsiteY9" fmla="*/ 19218 h 19218"/>
              <a:gd name="connsiteX10" fmla="*/ 3 w 10003"/>
              <a:gd name="connsiteY10" fmla="*/ 19179 h 19218"/>
              <a:gd name="connsiteX0" fmla="*/ 6 w 10003"/>
              <a:gd name="connsiteY0" fmla="*/ 10166 h 19219"/>
              <a:gd name="connsiteX1" fmla="*/ 0 w 10003"/>
              <a:gd name="connsiteY1" fmla="*/ 1 h 19219"/>
              <a:gd name="connsiteX2" fmla="*/ 3660 w 10003"/>
              <a:gd name="connsiteY2" fmla="*/ 0 h 19219"/>
              <a:gd name="connsiteX3" fmla="*/ 3684 w 10003"/>
              <a:gd name="connsiteY3" fmla="*/ 2846 h 19219"/>
              <a:gd name="connsiteX4" fmla="*/ 6717 w 10003"/>
              <a:gd name="connsiteY4" fmla="*/ 2793 h 19219"/>
              <a:gd name="connsiteX5" fmla="*/ 6734 w 10003"/>
              <a:gd name="connsiteY5" fmla="*/ 10148 h 19219"/>
              <a:gd name="connsiteX6" fmla="*/ 9999 w 10003"/>
              <a:gd name="connsiteY6" fmla="*/ 10198 h 19219"/>
              <a:gd name="connsiteX7" fmla="*/ 9959 w 10003"/>
              <a:gd name="connsiteY7" fmla="*/ 12624 h 19219"/>
              <a:gd name="connsiteX8" fmla="*/ 9948 w 10003"/>
              <a:gd name="connsiteY8" fmla="*/ 16309 h 19219"/>
              <a:gd name="connsiteX9" fmla="*/ 9959 w 10003"/>
              <a:gd name="connsiteY9" fmla="*/ 19219 h 19219"/>
              <a:gd name="connsiteX10" fmla="*/ 3 w 10003"/>
              <a:gd name="connsiteY10" fmla="*/ 19180 h 192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003" h="19219">
                <a:moveTo>
                  <a:pt x="6" y="10166"/>
                </a:moveTo>
                <a:cubicBezTo>
                  <a:pt x="4" y="6778"/>
                  <a:pt x="2" y="3389"/>
                  <a:pt x="0" y="1"/>
                </a:cubicBezTo>
                <a:lnTo>
                  <a:pt x="3660" y="0"/>
                </a:lnTo>
                <a:cubicBezTo>
                  <a:pt x="3679" y="1121"/>
                  <a:pt x="3687" y="1863"/>
                  <a:pt x="3684" y="2846"/>
                </a:cubicBezTo>
                <a:lnTo>
                  <a:pt x="6717" y="2793"/>
                </a:lnTo>
                <a:cubicBezTo>
                  <a:pt x="6721" y="1873"/>
                  <a:pt x="6728" y="11068"/>
                  <a:pt x="6734" y="10148"/>
                </a:cubicBezTo>
                <a:lnTo>
                  <a:pt x="9999" y="10198"/>
                </a:lnTo>
                <a:cubicBezTo>
                  <a:pt x="10003" y="11964"/>
                  <a:pt x="9956" y="10858"/>
                  <a:pt x="9959" y="12624"/>
                </a:cubicBezTo>
                <a:cubicBezTo>
                  <a:pt x="9956" y="13852"/>
                  <a:pt x="9952" y="15081"/>
                  <a:pt x="9948" y="16309"/>
                </a:cubicBezTo>
                <a:cubicBezTo>
                  <a:pt x="9952" y="17279"/>
                  <a:pt x="9956" y="18249"/>
                  <a:pt x="9959" y="19219"/>
                </a:cubicBezTo>
                <a:lnTo>
                  <a:pt x="3" y="19180"/>
                </a:lnTo>
              </a:path>
            </a:pathLst>
          </a:custGeom>
          <a:solidFill>
            <a:srgbClr val="FFCCFF"/>
          </a:solidFill>
          <a:ln w="9525">
            <a:noFill/>
            <a:round/>
            <a:headEnd/>
            <a:tailEnd/>
          </a:ln>
        </xdr:spPr>
        <xdr:txBody>
          <a:bodyPr/>
          <a:lstStyle/>
          <a:p>
            <a:endParaRPr lang="ja-JP" altLang="en-US"/>
          </a:p>
        </xdr:txBody>
      </xdr:sp>
      <xdr:grpSp>
        <xdr:nvGrpSpPr>
          <xdr:cNvPr id="148" name="グループ化 147">
            <a:extLst>
              <a:ext uri="{FF2B5EF4-FFF2-40B4-BE49-F238E27FC236}">
                <a16:creationId xmlns:a16="http://schemas.microsoft.com/office/drawing/2014/main" xmlns="" id="{7F944382-C0E9-CD9E-F68A-5AFE2CC38B40}"/>
              </a:ext>
            </a:extLst>
          </xdr:cNvPr>
          <xdr:cNvGrpSpPr/>
        </xdr:nvGrpSpPr>
        <xdr:grpSpPr>
          <a:xfrm>
            <a:off x="6594409" y="11249025"/>
            <a:ext cx="1508125" cy="971550"/>
            <a:chOff x="6594409" y="11249025"/>
            <a:chExt cx="1508125" cy="971550"/>
          </a:xfrm>
        </xdr:grpSpPr>
        <xdr:sp macro="" textlink="">
          <xdr:nvSpPr>
            <xdr:cNvPr id="151" name="Rectangle 555">
              <a:extLst>
                <a:ext uri="{FF2B5EF4-FFF2-40B4-BE49-F238E27FC236}">
                  <a16:creationId xmlns:a16="http://schemas.microsoft.com/office/drawing/2014/main" xmlns="" id="{707E633C-813C-7DBE-4FAC-3093AFF88F25}"/>
                </a:ext>
              </a:extLst>
            </xdr:cNvPr>
            <xdr:cNvSpPr>
              <a:spLocks noChangeArrowheads="1"/>
            </xdr:cNvSpPr>
          </xdr:nvSpPr>
          <xdr:spPr bwMode="auto">
            <a:xfrm>
              <a:off x="6594409" y="11249025"/>
              <a:ext cx="1508125" cy="971550"/>
            </a:xfrm>
            <a:prstGeom prst="rect">
              <a:avLst/>
            </a:prstGeom>
            <a:solidFill>
              <a:srgbClr val="FFFFFF"/>
            </a:solidFill>
            <a:ln w="9525">
              <a:noFill/>
              <a:miter lim="800000"/>
              <a:headEnd/>
              <a:tailEnd/>
            </a:ln>
          </xdr:spPr>
        </xdr:sp>
        <xdr:sp macro="" textlink="">
          <xdr:nvSpPr>
            <xdr:cNvPr id="152" name="Text Box 554">
              <a:extLst>
                <a:ext uri="{FF2B5EF4-FFF2-40B4-BE49-F238E27FC236}">
                  <a16:creationId xmlns:a16="http://schemas.microsoft.com/office/drawing/2014/main" xmlns="" id="{1BB3809E-6A7C-4EB9-C9FF-A27CB9DB9BB0}"/>
                </a:ext>
              </a:extLst>
            </xdr:cNvPr>
            <xdr:cNvSpPr txBox="1">
              <a:spLocks noChangeArrowheads="1"/>
            </xdr:cNvSpPr>
          </xdr:nvSpPr>
          <xdr:spPr bwMode="auto">
            <a:xfrm>
              <a:off x="6870722" y="11614150"/>
              <a:ext cx="971550" cy="276225"/>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400" b="0" i="0" u="none" strike="noStrike" baseline="0">
                  <a:solidFill>
                    <a:srgbClr val="000000"/>
                  </a:solidFill>
                  <a:latin typeface="ＭＳ Ｐゴシック"/>
                  <a:ea typeface="ＭＳ Ｐゴシック"/>
                </a:rPr>
                <a:t>中間検査場</a:t>
              </a:r>
            </a:p>
          </xdr:txBody>
        </xdr:sp>
      </xdr:grpSp>
      <xdr:sp macro="" textlink="">
        <xdr:nvSpPr>
          <xdr:cNvPr id="149" name="Rectangle 913">
            <a:extLst>
              <a:ext uri="{FF2B5EF4-FFF2-40B4-BE49-F238E27FC236}">
                <a16:creationId xmlns:a16="http://schemas.microsoft.com/office/drawing/2014/main" xmlns="" id="{F367D86D-63D9-127F-3EC1-D7371AAD73FC}"/>
              </a:ext>
            </a:extLst>
          </xdr:cNvPr>
          <xdr:cNvSpPr>
            <a:spLocks noChangeArrowheads="1"/>
          </xdr:cNvSpPr>
        </xdr:nvSpPr>
        <xdr:spPr bwMode="auto">
          <a:xfrm>
            <a:off x="6959600" y="10128250"/>
            <a:ext cx="771525" cy="895350"/>
          </a:xfrm>
          <a:prstGeom prst="rect">
            <a:avLst/>
          </a:prstGeom>
          <a:noFill/>
          <a:ln w="3175">
            <a:noFill/>
            <a:miter lim="800000"/>
            <a:headEnd/>
            <a:tailEnd/>
          </a:ln>
        </xdr:spPr>
      </xdr:sp>
      <xdr:sp macro="" textlink="">
        <xdr:nvSpPr>
          <xdr:cNvPr id="150" name="Rectangle 913">
            <a:extLst>
              <a:ext uri="{FF2B5EF4-FFF2-40B4-BE49-F238E27FC236}">
                <a16:creationId xmlns:a16="http://schemas.microsoft.com/office/drawing/2014/main" xmlns="" id="{0F3DD2FE-23DE-442D-353B-F8E375146EA1}"/>
              </a:ext>
            </a:extLst>
          </xdr:cNvPr>
          <xdr:cNvSpPr>
            <a:spLocks noChangeArrowheads="1"/>
          </xdr:cNvSpPr>
        </xdr:nvSpPr>
        <xdr:spPr bwMode="auto">
          <a:xfrm>
            <a:off x="10220325" y="10020300"/>
            <a:ext cx="768350" cy="895350"/>
          </a:xfrm>
          <a:prstGeom prst="rect">
            <a:avLst/>
          </a:prstGeom>
          <a:noFill/>
          <a:ln w="3175">
            <a:noFill/>
            <a:miter lim="800000"/>
            <a:headEnd/>
            <a:tailEnd/>
          </a:ln>
        </xdr:spPr>
      </xdr:sp>
    </xdr:grpSp>
    <xdr:clientData/>
  </xdr:twoCellAnchor>
  <xdr:twoCellAnchor>
    <xdr:from>
      <xdr:col>43</xdr:col>
      <xdr:colOff>9525</xdr:colOff>
      <xdr:row>84</xdr:row>
      <xdr:rowOff>13278</xdr:rowOff>
    </xdr:from>
    <xdr:to>
      <xdr:col>46</xdr:col>
      <xdr:colOff>180975</xdr:colOff>
      <xdr:row>88</xdr:row>
      <xdr:rowOff>152401</xdr:rowOff>
    </xdr:to>
    <xdr:sp macro="" textlink="">
      <xdr:nvSpPr>
        <xdr:cNvPr id="153" name="Rectangle 913">
          <a:extLst>
            <a:ext uri="{FF2B5EF4-FFF2-40B4-BE49-F238E27FC236}">
              <a16:creationId xmlns:a16="http://schemas.microsoft.com/office/drawing/2014/main" xmlns="" id="{8C31A26F-FAA0-416E-8B2B-57A5C0660E72}"/>
            </a:ext>
          </a:extLst>
        </xdr:cNvPr>
        <xdr:cNvSpPr>
          <a:spLocks noChangeArrowheads="1"/>
        </xdr:cNvSpPr>
      </xdr:nvSpPr>
      <xdr:spPr bwMode="auto">
        <a:xfrm>
          <a:off x="7952798" y="15668914"/>
          <a:ext cx="725632" cy="924214"/>
        </a:xfrm>
        <a:prstGeom prst="rect">
          <a:avLst/>
        </a:prstGeom>
        <a:noFill/>
        <a:ln w="3175">
          <a:solidFill>
            <a:srgbClr val="000000"/>
          </a:solidFill>
          <a:miter lim="800000"/>
          <a:headEnd/>
          <a:tailEnd/>
        </a:ln>
      </xdr:spPr>
    </xdr:sp>
    <xdr:clientData/>
  </xdr:twoCellAnchor>
  <xdr:twoCellAnchor>
    <xdr:from>
      <xdr:col>51</xdr:col>
      <xdr:colOff>80963</xdr:colOff>
      <xdr:row>69</xdr:row>
      <xdr:rowOff>118053</xdr:rowOff>
    </xdr:from>
    <xdr:to>
      <xdr:col>55</xdr:col>
      <xdr:colOff>52388</xdr:colOff>
      <xdr:row>74</xdr:row>
      <xdr:rowOff>60903</xdr:rowOff>
    </xdr:to>
    <xdr:sp macro="" textlink="">
      <xdr:nvSpPr>
        <xdr:cNvPr id="154" name="Rectangle 913">
          <a:extLst>
            <a:ext uri="{FF2B5EF4-FFF2-40B4-BE49-F238E27FC236}">
              <a16:creationId xmlns:a16="http://schemas.microsoft.com/office/drawing/2014/main" xmlns="" id="{932D2796-4ADC-487B-8D0B-AB79AA42E0C3}"/>
            </a:ext>
          </a:extLst>
        </xdr:cNvPr>
        <xdr:cNvSpPr>
          <a:spLocks noChangeArrowheads="1"/>
        </xdr:cNvSpPr>
      </xdr:nvSpPr>
      <xdr:spPr bwMode="auto">
        <a:xfrm>
          <a:off x="9502054" y="12829598"/>
          <a:ext cx="710334" cy="924214"/>
        </a:xfrm>
        <a:prstGeom prst="rect">
          <a:avLst/>
        </a:prstGeom>
        <a:noFill/>
        <a:ln w="3175">
          <a:solidFill>
            <a:srgbClr val="000000"/>
          </a:solidFill>
          <a:miter lim="800000"/>
          <a:headEnd/>
          <a:tailEnd/>
        </a:ln>
      </xdr:spPr>
    </xdr:sp>
    <xdr:clientData/>
  </xdr:twoCellAnchor>
  <xdr:twoCellAnchor>
    <xdr:from>
      <xdr:col>10</xdr:col>
      <xdr:colOff>19050</xdr:colOff>
      <xdr:row>64</xdr:row>
      <xdr:rowOff>184150</xdr:rowOff>
    </xdr:from>
    <xdr:to>
      <xdr:col>13</xdr:col>
      <xdr:colOff>184150</xdr:colOff>
      <xdr:row>69</xdr:row>
      <xdr:rowOff>127001</xdr:rowOff>
    </xdr:to>
    <xdr:sp macro="" textlink="">
      <xdr:nvSpPr>
        <xdr:cNvPr id="155" name="Rectangle 913">
          <a:extLst>
            <a:ext uri="{FF2B5EF4-FFF2-40B4-BE49-F238E27FC236}">
              <a16:creationId xmlns:a16="http://schemas.microsoft.com/office/drawing/2014/main" xmlns="" id="{169A8568-A3CB-4FB2-82F5-5E91542A15AA}"/>
            </a:ext>
          </a:extLst>
        </xdr:cNvPr>
        <xdr:cNvSpPr>
          <a:spLocks noChangeArrowheads="1"/>
        </xdr:cNvSpPr>
      </xdr:nvSpPr>
      <xdr:spPr bwMode="auto">
        <a:xfrm>
          <a:off x="1866323" y="11914332"/>
          <a:ext cx="719282" cy="924214"/>
        </a:xfrm>
        <a:prstGeom prst="rect">
          <a:avLst/>
        </a:prstGeom>
        <a:noFill/>
        <a:ln w="3175">
          <a:solidFill>
            <a:srgbClr val="000000"/>
          </a:solidFill>
          <a:miter lim="800000"/>
          <a:headEnd/>
          <a:tailEnd/>
        </a:ln>
      </xdr:spPr>
    </xdr:sp>
    <xdr:clientData/>
  </xdr:twoCellAnchor>
  <xdr:twoCellAnchor>
    <xdr:from>
      <xdr:col>15</xdr:col>
      <xdr:colOff>171450</xdr:colOff>
      <xdr:row>64</xdr:row>
      <xdr:rowOff>184150</xdr:rowOff>
    </xdr:from>
    <xdr:to>
      <xdr:col>19</xdr:col>
      <xdr:colOff>142875</xdr:colOff>
      <xdr:row>69</xdr:row>
      <xdr:rowOff>127001</xdr:rowOff>
    </xdr:to>
    <xdr:sp macro="" textlink="">
      <xdr:nvSpPr>
        <xdr:cNvPr id="156" name="Rectangle 913">
          <a:extLst>
            <a:ext uri="{FF2B5EF4-FFF2-40B4-BE49-F238E27FC236}">
              <a16:creationId xmlns:a16="http://schemas.microsoft.com/office/drawing/2014/main" xmlns="" id="{AC699C65-9BA2-4CE2-AFCB-C5EAABC82461}"/>
            </a:ext>
          </a:extLst>
        </xdr:cNvPr>
        <xdr:cNvSpPr>
          <a:spLocks noChangeArrowheads="1"/>
        </xdr:cNvSpPr>
      </xdr:nvSpPr>
      <xdr:spPr bwMode="auto">
        <a:xfrm>
          <a:off x="2942359" y="11914332"/>
          <a:ext cx="710334" cy="924214"/>
        </a:xfrm>
        <a:prstGeom prst="rect">
          <a:avLst/>
        </a:prstGeom>
        <a:noFill/>
        <a:ln w="3175">
          <a:solidFill>
            <a:srgbClr val="000000"/>
          </a:solidFill>
          <a:miter lim="800000"/>
          <a:headEnd/>
          <a:tailEnd/>
        </a:ln>
      </xdr:spPr>
    </xdr:sp>
    <xdr:clientData/>
  </xdr:twoCellAnchor>
  <xdr:twoCellAnchor>
    <xdr:from>
      <xdr:col>51</xdr:col>
      <xdr:colOff>123825</xdr:colOff>
      <xdr:row>84</xdr:row>
      <xdr:rowOff>3753</xdr:rowOff>
    </xdr:from>
    <xdr:to>
      <xdr:col>55</xdr:col>
      <xdr:colOff>95250</xdr:colOff>
      <xdr:row>88</xdr:row>
      <xdr:rowOff>142876</xdr:rowOff>
    </xdr:to>
    <xdr:sp macro="" textlink="">
      <xdr:nvSpPr>
        <xdr:cNvPr id="157" name="Rectangle 913">
          <a:extLst>
            <a:ext uri="{FF2B5EF4-FFF2-40B4-BE49-F238E27FC236}">
              <a16:creationId xmlns:a16="http://schemas.microsoft.com/office/drawing/2014/main" xmlns="" id="{BB1F5ECC-8896-4A65-95E0-35AC95513D90}"/>
            </a:ext>
          </a:extLst>
        </xdr:cNvPr>
        <xdr:cNvSpPr>
          <a:spLocks noChangeArrowheads="1"/>
        </xdr:cNvSpPr>
      </xdr:nvSpPr>
      <xdr:spPr bwMode="auto">
        <a:xfrm>
          <a:off x="9544916" y="15659389"/>
          <a:ext cx="710334" cy="924214"/>
        </a:xfrm>
        <a:prstGeom prst="rect">
          <a:avLst/>
        </a:prstGeom>
        <a:noFill/>
        <a:ln w="3175">
          <a:solidFill>
            <a:srgbClr val="000000"/>
          </a:solidFill>
          <a:miter lim="800000"/>
          <a:headEnd/>
          <a:tailEnd/>
        </a:ln>
      </xdr:spPr>
    </xdr:sp>
    <xdr:clientData/>
  </xdr:twoCellAnchor>
  <xdr:twoCellAnchor>
    <xdr:from>
      <xdr:col>69</xdr:col>
      <xdr:colOff>31751</xdr:colOff>
      <xdr:row>77</xdr:row>
      <xdr:rowOff>19628</xdr:rowOff>
    </xdr:from>
    <xdr:to>
      <xdr:col>78</xdr:col>
      <xdr:colOff>85001</xdr:colOff>
      <xdr:row>80</xdr:row>
      <xdr:rowOff>173901</xdr:rowOff>
    </xdr:to>
    <xdr:grpSp>
      <xdr:nvGrpSpPr>
        <xdr:cNvPr id="158" name="グループ化 157">
          <a:extLst>
            <a:ext uri="{FF2B5EF4-FFF2-40B4-BE49-F238E27FC236}">
              <a16:creationId xmlns:a16="http://schemas.microsoft.com/office/drawing/2014/main" xmlns="" id="{AC25E858-B7EC-4A7A-A135-B1E00C841E00}"/>
            </a:ext>
          </a:extLst>
        </xdr:cNvPr>
        <xdr:cNvGrpSpPr/>
      </xdr:nvGrpSpPr>
      <xdr:grpSpPr>
        <a:xfrm>
          <a:off x="12550322" y="14552057"/>
          <a:ext cx="1686108" cy="752987"/>
          <a:chOff x="14051641" y="12661900"/>
          <a:chExt cx="1882959" cy="720000"/>
        </a:xfrm>
      </xdr:grpSpPr>
      <xdr:sp macro="" textlink="">
        <xdr:nvSpPr>
          <xdr:cNvPr id="159" name="右矢印 365">
            <a:extLst>
              <a:ext uri="{FF2B5EF4-FFF2-40B4-BE49-F238E27FC236}">
                <a16:creationId xmlns:a16="http://schemas.microsoft.com/office/drawing/2014/main" xmlns="" id="{89D5A9D7-0FE8-BE32-4C74-105B25C9834A}"/>
              </a:ext>
            </a:extLst>
          </xdr:cNvPr>
          <xdr:cNvSpPr/>
        </xdr:nvSpPr>
        <xdr:spPr bwMode="auto">
          <a:xfrm>
            <a:off x="15214600" y="12661900"/>
            <a:ext cx="720000" cy="720000"/>
          </a:xfrm>
          <a:prstGeom prst="rightArrow">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sp macro="" textlink="">
        <xdr:nvSpPr>
          <xdr:cNvPr id="160" name="Text Box 643">
            <a:extLst>
              <a:ext uri="{FF2B5EF4-FFF2-40B4-BE49-F238E27FC236}">
                <a16:creationId xmlns:a16="http://schemas.microsoft.com/office/drawing/2014/main" xmlns="" id="{C59CE55E-ABC7-7A73-9317-87F24208D942}"/>
              </a:ext>
            </a:extLst>
          </xdr:cNvPr>
          <xdr:cNvSpPr txBox="1">
            <a:spLocks noChangeArrowheads="1"/>
          </xdr:cNvSpPr>
        </xdr:nvSpPr>
        <xdr:spPr bwMode="auto">
          <a:xfrm>
            <a:off x="14051641" y="12885680"/>
            <a:ext cx="1025922" cy="333489"/>
          </a:xfrm>
          <a:prstGeom prst="rect">
            <a:avLst/>
          </a:prstGeom>
          <a:noFill/>
          <a:ln w="9525">
            <a:noFill/>
            <a:miter lim="800000"/>
            <a:headEnd/>
            <a:tailEnd/>
          </a:ln>
        </xdr:spPr>
        <xdr:txBody>
          <a:bodyPr vertOverflow="clip" wrap="none" lIns="0" tIns="0" rIns="0" bIns="0" anchor="ctr" upright="1">
            <a:spAutoFit/>
          </a:bodyPr>
          <a:lstStyle/>
          <a:p>
            <a:pPr algn="l" rtl="0">
              <a:defRPr sz="1000"/>
            </a:pPr>
            <a:r>
              <a:rPr lang="ja-JP" altLang="en-US" sz="2000" b="0" i="0" u="none" strike="noStrike" baseline="0">
                <a:solidFill>
                  <a:srgbClr val="000000"/>
                </a:solidFill>
                <a:latin typeface="HGPｺﾞｼｯｸE" pitchFamily="50" charset="-128"/>
                <a:ea typeface="HGPｺﾞｼｯｸE" pitchFamily="50" charset="-128"/>
              </a:rPr>
              <a:t>切断工程</a:t>
            </a:r>
          </a:p>
        </xdr:txBody>
      </xdr:sp>
    </xdr:grpSp>
    <xdr:clientData/>
  </xdr:twoCellAnchor>
  <xdr:twoCellAnchor>
    <xdr:from>
      <xdr:col>0</xdr:col>
      <xdr:colOff>184150</xdr:colOff>
      <xdr:row>89</xdr:row>
      <xdr:rowOff>127000</xdr:rowOff>
    </xdr:from>
    <xdr:to>
      <xdr:col>78</xdr:col>
      <xdr:colOff>142875</xdr:colOff>
      <xdr:row>89</xdr:row>
      <xdr:rowOff>127000</xdr:rowOff>
    </xdr:to>
    <xdr:sp macro="" textlink="">
      <xdr:nvSpPr>
        <xdr:cNvPr id="161" name="Rectangle 889">
          <a:extLst>
            <a:ext uri="{FF2B5EF4-FFF2-40B4-BE49-F238E27FC236}">
              <a16:creationId xmlns:a16="http://schemas.microsoft.com/office/drawing/2014/main" xmlns="" id="{1AA36A0C-FD8A-4C8E-8EBB-7B2AEBA54A70}"/>
            </a:ext>
          </a:extLst>
        </xdr:cNvPr>
        <xdr:cNvSpPr>
          <a:spLocks noChangeArrowheads="1"/>
        </xdr:cNvSpPr>
      </xdr:nvSpPr>
      <xdr:spPr bwMode="auto">
        <a:xfrm>
          <a:off x="184150" y="16764000"/>
          <a:ext cx="14367452" cy="0"/>
        </a:xfrm>
        <a:prstGeom prst="rect">
          <a:avLst/>
        </a:prstGeom>
        <a:solidFill>
          <a:srgbClr val="FFFFFF"/>
        </a:solidFill>
        <a:ln w="9525">
          <a:solidFill>
            <a:srgbClr val="000000"/>
          </a:solidFill>
          <a:miter lim="800000"/>
          <a:headEnd/>
          <a:tailEnd/>
        </a:ln>
      </xdr:spPr>
    </xdr:sp>
    <xdr:clientData/>
  </xdr:twoCellAnchor>
  <xdr:twoCellAnchor>
    <xdr:from>
      <xdr:col>1</xdr:col>
      <xdr:colOff>184150</xdr:colOff>
      <xdr:row>89</xdr:row>
      <xdr:rowOff>127000</xdr:rowOff>
    </xdr:from>
    <xdr:to>
      <xdr:col>19</xdr:col>
      <xdr:colOff>158750</xdr:colOff>
      <xdr:row>89</xdr:row>
      <xdr:rowOff>127000</xdr:rowOff>
    </xdr:to>
    <xdr:sp macro="" textlink="">
      <xdr:nvSpPr>
        <xdr:cNvPr id="162" name="WordArt 883">
          <a:extLst>
            <a:ext uri="{FF2B5EF4-FFF2-40B4-BE49-F238E27FC236}">
              <a16:creationId xmlns:a16="http://schemas.microsoft.com/office/drawing/2014/main" xmlns="" id="{B3455988-592B-43FA-9B57-73261A3270A4}"/>
            </a:ext>
          </a:extLst>
        </xdr:cNvPr>
        <xdr:cNvSpPr>
          <a:spLocks noChangeArrowheads="1" noChangeShapeType="1" noTextEdit="1"/>
        </xdr:cNvSpPr>
      </xdr:nvSpPr>
      <xdr:spPr bwMode="auto">
        <a:xfrm>
          <a:off x="368877" y="16764000"/>
          <a:ext cx="3299691" cy="0"/>
        </a:xfrm>
        <a:prstGeom prst="rect">
          <a:avLst/>
        </a:prstGeom>
      </xdr:spPr>
      <xdr:txBody>
        <a:bodyPr wrap="none" fromWordArt="1">
          <a:prstTxWarp prst="textPlain">
            <a:avLst>
              <a:gd name="adj" fmla="val 50000"/>
            </a:avLst>
          </a:prstTxWarp>
        </a:bodyPr>
        <a:lstStyle/>
        <a:p>
          <a:pPr algn="ctr" rtl="0"/>
          <a:r>
            <a:rPr lang="ja-JP" altLang="en-US" sz="2800" b="1" kern="10" spc="0">
              <a:ln w="12700">
                <a:solidFill>
                  <a:srgbClr val="FF00FF"/>
                </a:solidFill>
                <a:round/>
                <a:headEnd/>
                <a:tailEnd/>
              </a:ln>
              <a:solidFill>
                <a:srgbClr val="FF99CC"/>
              </a:solidFill>
              <a:effectLst/>
              <a:latin typeface="HG明朝E"/>
              <a:ea typeface="HG明朝E"/>
            </a:rPr>
            <a:t>シールド線工程欠勤者</a:t>
          </a:r>
        </a:p>
      </xdr:txBody>
    </xdr:sp>
    <xdr:clientData/>
  </xdr:twoCellAnchor>
  <xdr:twoCellAnchor>
    <xdr:from>
      <xdr:col>1</xdr:col>
      <xdr:colOff>184150</xdr:colOff>
      <xdr:row>89</xdr:row>
      <xdr:rowOff>127000</xdr:rowOff>
    </xdr:from>
    <xdr:to>
      <xdr:col>14</xdr:col>
      <xdr:colOff>88900</xdr:colOff>
      <xdr:row>89</xdr:row>
      <xdr:rowOff>127000</xdr:rowOff>
    </xdr:to>
    <xdr:sp macro="" textlink="">
      <xdr:nvSpPr>
        <xdr:cNvPr id="163" name="WordArt 885">
          <a:extLst>
            <a:ext uri="{FF2B5EF4-FFF2-40B4-BE49-F238E27FC236}">
              <a16:creationId xmlns:a16="http://schemas.microsoft.com/office/drawing/2014/main" xmlns="" id="{06C34442-83BC-4EF0-B87C-0EAF4F0CB6DF}"/>
            </a:ext>
          </a:extLst>
        </xdr:cNvPr>
        <xdr:cNvSpPr>
          <a:spLocks noChangeArrowheads="1" noChangeShapeType="1" noTextEdit="1"/>
        </xdr:cNvSpPr>
      </xdr:nvSpPr>
      <xdr:spPr bwMode="auto">
        <a:xfrm>
          <a:off x="368877" y="16764000"/>
          <a:ext cx="2306205" cy="0"/>
        </a:xfrm>
        <a:prstGeom prst="rect">
          <a:avLst/>
        </a:prstGeom>
      </xdr:spPr>
      <xdr:txBody>
        <a:bodyPr wrap="none" fromWordArt="1">
          <a:prstTxWarp prst="textPlain">
            <a:avLst>
              <a:gd name="adj" fmla="val 50000"/>
            </a:avLst>
          </a:prstTxWarp>
        </a:bodyPr>
        <a:lstStyle/>
        <a:p>
          <a:pPr algn="ctr" rtl="0"/>
          <a:r>
            <a:rPr lang="ja-JP" altLang="en-US" sz="2800" b="1" kern="10" spc="0">
              <a:ln w="12700">
                <a:solidFill>
                  <a:srgbClr val="FF6600"/>
                </a:solidFill>
                <a:round/>
                <a:headEnd/>
                <a:tailEnd/>
              </a:ln>
              <a:solidFill>
                <a:srgbClr val="FFFF99"/>
              </a:solidFill>
              <a:effectLst/>
              <a:latin typeface="HG明朝E"/>
              <a:ea typeface="HG明朝E"/>
            </a:rPr>
            <a:t>太物工程欠勤者</a:t>
          </a:r>
        </a:p>
      </xdr:txBody>
    </xdr:sp>
    <xdr:clientData/>
  </xdr:twoCellAnchor>
  <xdr:twoCellAnchor>
    <xdr:from>
      <xdr:col>3</xdr:col>
      <xdr:colOff>161925</xdr:colOff>
      <xdr:row>89</xdr:row>
      <xdr:rowOff>127000</xdr:rowOff>
    </xdr:from>
    <xdr:to>
      <xdr:col>12</xdr:col>
      <xdr:colOff>142875</xdr:colOff>
      <xdr:row>89</xdr:row>
      <xdr:rowOff>127000</xdr:rowOff>
    </xdr:to>
    <xdr:sp macro="" textlink="">
      <xdr:nvSpPr>
        <xdr:cNvPr id="164" name="WordArt 886">
          <a:extLst>
            <a:ext uri="{FF2B5EF4-FFF2-40B4-BE49-F238E27FC236}">
              <a16:creationId xmlns:a16="http://schemas.microsoft.com/office/drawing/2014/main" xmlns="" id="{F909CC51-1720-4829-8A2F-F0A3C1CB2378}"/>
            </a:ext>
          </a:extLst>
        </xdr:cNvPr>
        <xdr:cNvSpPr>
          <a:spLocks noChangeArrowheads="1" noChangeShapeType="1" noTextEdit="1"/>
        </xdr:cNvSpPr>
      </xdr:nvSpPr>
      <xdr:spPr bwMode="auto">
        <a:xfrm>
          <a:off x="716107" y="16764000"/>
          <a:ext cx="1643495" cy="0"/>
        </a:xfrm>
        <a:prstGeom prst="rect">
          <a:avLst/>
        </a:prstGeom>
      </xdr:spPr>
      <xdr:txBody>
        <a:bodyPr wrap="none" fromWordArt="1">
          <a:prstTxWarp prst="textPlain">
            <a:avLst>
              <a:gd name="adj" fmla="val 50000"/>
            </a:avLst>
          </a:prstTxWarp>
        </a:bodyPr>
        <a:lstStyle/>
        <a:p>
          <a:pPr algn="ctr" rtl="0"/>
          <a:r>
            <a:rPr lang="ja-JP" altLang="en-US" sz="2800" b="1" kern="10" spc="0">
              <a:ln w="12700">
                <a:solidFill>
                  <a:srgbClr val="FF00FF"/>
                </a:solidFill>
                <a:round/>
                <a:headEnd/>
                <a:tailEnd/>
              </a:ln>
              <a:solidFill>
                <a:srgbClr val="FF99CC"/>
              </a:solidFill>
              <a:effectLst/>
              <a:latin typeface="HG明朝E"/>
              <a:ea typeface="HG明朝E"/>
            </a:rPr>
            <a:t>圧着・切断</a:t>
          </a:r>
        </a:p>
      </xdr:txBody>
    </xdr:sp>
    <xdr:clientData/>
  </xdr:twoCellAnchor>
  <xdr:twoCellAnchor>
    <xdr:from>
      <xdr:col>1</xdr:col>
      <xdr:colOff>184150</xdr:colOff>
      <xdr:row>89</xdr:row>
      <xdr:rowOff>127000</xdr:rowOff>
    </xdr:from>
    <xdr:to>
      <xdr:col>19</xdr:col>
      <xdr:colOff>158750</xdr:colOff>
      <xdr:row>89</xdr:row>
      <xdr:rowOff>127000</xdr:rowOff>
    </xdr:to>
    <xdr:sp macro="" textlink="">
      <xdr:nvSpPr>
        <xdr:cNvPr id="165" name="WordArt 887">
          <a:extLst>
            <a:ext uri="{FF2B5EF4-FFF2-40B4-BE49-F238E27FC236}">
              <a16:creationId xmlns:a16="http://schemas.microsoft.com/office/drawing/2014/main" xmlns="" id="{A79194FC-9EB2-48C7-9A5A-BAE590D3A500}"/>
            </a:ext>
          </a:extLst>
        </xdr:cNvPr>
        <xdr:cNvSpPr>
          <a:spLocks noChangeArrowheads="1" noChangeShapeType="1" noTextEdit="1"/>
        </xdr:cNvSpPr>
      </xdr:nvSpPr>
      <xdr:spPr bwMode="auto">
        <a:xfrm>
          <a:off x="368877" y="16764000"/>
          <a:ext cx="3299691" cy="0"/>
        </a:xfrm>
        <a:prstGeom prst="rect">
          <a:avLst/>
        </a:prstGeom>
      </xdr:spPr>
      <xdr:txBody>
        <a:bodyPr wrap="none" fromWordArt="1">
          <a:prstTxWarp prst="textPlain">
            <a:avLst>
              <a:gd name="adj" fmla="val 50000"/>
            </a:avLst>
          </a:prstTxWarp>
        </a:bodyPr>
        <a:lstStyle/>
        <a:p>
          <a:pPr algn="ctr" rtl="0"/>
          <a:r>
            <a:rPr lang="ja-JP" altLang="en-US" sz="2800" b="1" kern="10" spc="0">
              <a:ln w="12700">
                <a:solidFill>
                  <a:srgbClr val="008080"/>
                </a:solidFill>
                <a:round/>
                <a:headEnd/>
                <a:tailEnd/>
              </a:ln>
              <a:solidFill>
                <a:srgbClr val="CCFFCC"/>
              </a:solidFill>
              <a:effectLst/>
              <a:latin typeface="HG明朝E"/>
              <a:ea typeface="HG明朝E"/>
            </a:rPr>
            <a:t>ツイスト線工程欠勤者</a:t>
          </a:r>
        </a:p>
      </xdr:txBody>
    </xdr:sp>
    <xdr:clientData/>
  </xdr:twoCellAnchor>
  <xdr:twoCellAnchor>
    <xdr:from>
      <xdr:col>33</xdr:col>
      <xdr:colOff>85725</xdr:colOff>
      <xdr:row>89</xdr:row>
      <xdr:rowOff>127000</xdr:rowOff>
    </xdr:from>
    <xdr:to>
      <xdr:col>33</xdr:col>
      <xdr:colOff>85725</xdr:colOff>
      <xdr:row>89</xdr:row>
      <xdr:rowOff>127000</xdr:rowOff>
    </xdr:to>
    <xdr:sp macro="" textlink="">
      <xdr:nvSpPr>
        <xdr:cNvPr id="166" name="Line 890">
          <a:extLst>
            <a:ext uri="{FF2B5EF4-FFF2-40B4-BE49-F238E27FC236}">
              <a16:creationId xmlns:a16="http://schemas.microsoft.com/office/drawing/2014/main" xmlns="" id="{B0185069-393B-4799-B42F-07BB9A6EDC09}"/>
            </a:ext>
          </a:extLst>
        </xdr:cNvPr>
        <xdr:cNvSpPr>
          <a:spLocks noChangeShapeType="1"/>
        </xdr:cNvSpPr>
      </xdr:nvSpPr>
      <xdr:spPr bwMode="auto">
        <a:xfrm flipV="1">
          <a:off x="6181725" y="16764000"/>
          <a:ext cx="0" cy="0"/>
        </a:xfrm>
        <a:prstGeom prst="line">
          <a:avLst/>
        </a:prstGeom>
        <a:noFill/>
        <a:ln w="9525">
          <a:solidFill>
            <a:srgbClr val="000000"/>
          </a:solidFill>
          <a:round/>
          <a:headEnd/>
          <a:tailEnd/>
        </a:ln>
      </xdr:spPr>
    </xdr:sp>
    <xdr:clientData/>
  </xdr:twoCellAnchor>
  <xdr:twoCellAnchor>
    <xdr:from>
      <xdr:col>33</xdr:col>
      <xdr:colOff>85725</xdr:colOff>
      <xdr:row>89</xdr:row>
      <xdr:rowOff>127000</xdr:rowOff>
    </xdr:from>
    <xdr:to>
      <xdr:col>63</xdr:col>
      <xdr:colOff>184150</xdr:colOff>
      <xdr:row>89</xdr:row>
      <xdr:rowOff>127000</xdr:rowOff>
    </xdr:to>
    <xdr:sp macro="" textlink="">
      <xdr:nvSpPr>
        <xdr:cNvPr id="167" name="Line 891">
          <a:extLst>
            <a:ext uri="{FF2B5EF4-FFF2-40B4-BE49-F238E27FC236}">
              <a16:creationId xmlns:a16="http://schemas.microsoft.com/office/drawing/2014/main" xmlns="" id="{6FA9B34D-657C-4A33-8E6B-5755E24CF520}"/>
            </a:ext>
          </a:extLst>
        </xdr:cNvPr>
        <xdr:cNvSpPr>
          <a:spLocks noChangeShapeType="1"/>
        </xdr:cNvSpPr>
      </xdr:nvSpPr>
      <xdr:spPr bwMode="auto">
        <a:xfrm flipH="1">
          <a:off x="6181725" y="16764000"/>
          <a:ext cx="5640243" cy="0"/>
        </a:xfrm>
        <a:prstGeom prst="line">
          <a:avLst/>
        </a:prstGeom>
        <a:noFill/>
        <a:ln w="9525">
          <a:solidFill>
            <a:srgbClr val="000000"/>
          </a:solidFill>
          <a:round/>
          <a:headEnd/>
          <a:tailEnd/>
        </a:ln>
      </xdr:spPr>
    </xdr:sp>
    <xdr:clientData/>
  </xdr:twoCellAnchor>
  <xdr:twoCellAnchor>
    <xdr:from>
      <xdr:col>33</xdr:col>
      <xdr:colOff>85725</xdr:colOff>
      <xdr:row>89</xdr:row>
      <xdr:rowOff>127000</xdr:rowOff>
    </xdr:from>
    <xdr:to>
      <xdr:col>63</xdr:col>
      <xdr:colOff>184150</xdr:colOff>
      <xdr:row>89</xdr:row>
      <xdr:rowOff>127000</xdr:rowOff>
    </xdr:to>
    <xdr:sp macro="" textlink="">
      <xdr:nvSpPr>
        <xdr:cNvPr id="168" name="Line 892">
          <a:extLst>
            <a:ext uri="{FF2B5EF4-FFF2-40B4-BE49-F238E27FC236}">
              <a16:creationId xmlns:a16="http://schemas.microsoft.com/office/drawing/2014/main" xmlns="" id="{95725A56-9AE8-4E1D-AD7C-F61B74142A5B}"/>
            </a:ext>
          </a:extLst>
        </xdr:cNvPr>
        <xdr:cNvSpPr>
          <a:spLocks noChangeShapeType="1"/>
        </xdr:cNvSpPr>
      </xdr:nvSpPr>
      <xdr:spPr bwMode="auto">
        <a:xfrm>
          <a:off x="6181725" y="16764000"/>
          <a:ext cx="5640243" cy="0"/>
        </a:xfrm>
        <a:prstGeom prst="line">
          <a:avLst/>
        </a:prstGeom>
        <a:noFill/>
        <a:ln w="9525">
          <a:solidFill>
            <a:srgbClr val="000000"/>
          </a:solidFill>
          <a:round/>
          <a:headEnd/>
          <a:tailEnd/>
        </a:ln>
      </xdr:spPr>
    </xdr:sp>
    <xdr:clientData/>
  </xdr:twoCellAnchor>
  <xdr:twoCellAnchor>
    <xdr:from>
      <xdr:col>1</xdr:col>
      <xdr:colOff>184150</xdr:colOff>
      <xdr:row>89</xdr:row>
      <xdr:rowOff>127000</xdr:rowOff>
    </xdr:from>
    <xdr:to>
      <xdr:col>16</xdr:col>
      <xdr:colOff>44450</xdr:colOff>
      <xdr:row>89</xdr:row>
      <xdr:rowOff>127000</xdr:rowOff>
    </xdr:to>
    <xdr:sp macro="" textlink="">
      <xdr:nvSpPr>
        <xdr:cNvPr id="169" name="WordArt 975">
          <a:extLst>
            <a:ext uri="{FF2B5EF4-FFF2-40B4-BE49-F238E27FC236}">
              <a16:creationId xmlns:a16="http://schemas.microsoft.com/office/drawing/2014/main" xmlns="" id="{D9DAEDF5-D14C-4572-B41A-5D5DA51CE2D1}"/>
            </a:ext>
          </a:extLst>
        </xdr:cNvPr>
        <xdr:cNvSpPr>
          <a:spLocks noChangeArrowheads="1" noChangeShapeType="1" noTextEdit="1"/>
        </xdr:cNvSpPr>
      </xdr:nvSpPr>
      <xdr:spPr bwMode="auto">
        <a:xfrm>
          <a:off x="368877" y="16764000"/>
          <a:ext cx="2631209" cy="0"/>
        </a:xfrm>
        <a:prstGeom prst="rect">
          <a:avLst/>
        </a:prstGeom>
      </xdr:spPr>
      <xdr:txBody>
        <a:bodyPr wrap="none" fromWordArt="1">
          <a:prstTxWarp prst="textPlain">
            <a:avLst>
              <a:gd name="adj" fmla="val 50000"/>
            </a:avLst>
          </a:prstTxWarp>
        </a:bodyPr>
        <a:lstStyle/>
        <a:p>
          <a:pPr algn="ctr" rtl="0"/>
          <a:r>
            <a:rPr lang="ja-JP" altLang="en-US" sz="2800" b="1" kern="10" spc="0">
              <a:ln w="12700">
                <a:solidFill>
                  <a:srgbClr val="800080"/>
                </a:solidFill>
                <a:round/>
                <a:headEnd/>
                <a:tailEnd/>
              </a:ln>
              <a:solidFill>
                <a:srgbClr val="CC99FF"/>
              </a:solidFill>
              <a:effectLst/>
              <a:latin typeface="HG明朝E"/>
              <a:ea typeface="HG明朝E"/>
            </a:rPr>
            <a:t>間接作業の欠勤者</a:t>
          </a:r>
        </a:p>
      </xdr:txBody>
    </xdr:sp>
    <xdr:clientData/>
  </xdr:twoCellAnchor>
  <xdr:twoCellAnchor>
    <xdr:from>
      <xdr:col>63</xdr:col>
      <xdr:colOff>127000</xdr:colOff>
      <xdr:row>41</xdr:row>
      <xdr:rowOff>187325</xdr:rowOff>
    </xdr:from>
    <xdr:to>
      <xdr:col>67</xdr:col>
      <xdr:colOff>95250</xdr:colOff>
      <xdr:row>46</xdr:row>
      <xdr:rowOff>130175</xdr:rowOff>
    </xdr:to>
    <xdr:sp macro="" textlink="">
      <xdr:nvSpPr>
        <xdr:cNvPr id="170" name="Rectangle 913">
          <a:extLst>
            <a:ext uri="{FF2B5EF4-FFF2-40B4-BE49-F238E27FC236}">
              <a16:creationId xmlns:a16="http://schemas.microsoft.com/office/drawing/2014/main" xmlns="" id="{BF41D90F-4BE3-49B7-BAF5-186D803C8779}"/>
            </a:ext>
          </a:extLst>
        </xdr:cNvPr>
        <xdr:cNvSpPr>
          <a:spLocks noChangeArrowheads="1"/>
        </xdr:cNvSpPr>
      </xdr:nvSpPr>
      <xdr:spPr bwMode="auto">
        <a:xfrm>
          <a:off x="11764818" y="7403234"/>
          <a:ext cx="707159" cy="924214"/>
        </a:xfrm>
        <a:prstGeom prst="rect">
          <a:avLst/>
        </a:prstGeom>
        <a:noFill/>
        <a:ln w="3175">
          <a:solidFill>
            <a:srgbClr val="000000"/>
          </a:solidFill>
          <a:miter lim="800000"/>
          <a:headEnd/>
          <a:tailEnd/>
        </a:ln>
      </xdr:spPr>
    </xdr:sp>
    <xdr:clientData/>
  </xdr:twoCellAnchor>
  <xdr:twoCellAnchor>
    <xdr:from>
      <xdr:col>54</xdr:col>
      <xdr:colOff>38100</xdr:colOff>
      <xdr:row>45</xdr:row>
      <xdr:rowOff>127000</xdr:rowOff>
    </xdr:from>
    <xdr:to>
      <xdr:col>58</xdr:col>
      <xdr:colOff>6350</xdr:colOff>
      <xdr:row>50</xdr:row>
      <xdr:rowOff>64077</xdr:rowOff>
    </xdr:to>
    <xdr:sp macro="" textlink="">
      <xdr:nvSpPr>
        <xdr:cNvPr id="171" name="Rectangle 913">
          <a:extLst>
            <a:ext uri="{FF2B5EF4-FFF2-40B4-BE49-F238E27FC236}">
              <a16:creationId xmlns:a16="http://schemas.microsoft.com/office/drawing/2014/main" xmlns="" id="{77367801-0004-4ADD-BDD8-96DCDFB3C29E}"/>
            </a:ext>
          </a:extLst>
        </xdr:cNvPr>
        <xdr:cNvSpPr>
          <a:spLocks noChangeArrowheads="1"/>
        </xdr:cNvSpPr>
      </xdr:nvSpPr>
      <xdr:spPr bwMode="auto">
        <a:xfrm rot="10800000">
          <a:off x="10013373" y="8128000"/>
          <a:ext cx="707159" cy="918441"/>
        </a:xfrm>
        <a:prstGeom prst="rect">
          <a:avLst/>
        </a:prstGeom>
        <a:noFill/>
        <a:ln w="3175">
          <a:solidFill>
            <a:srgbClr val="000000"/>
          </a:solidFill>
          <a:miter lim="800000"/>
          <a:headEnd/>
          <a:tailEnd/>
        </a:ln>
      </xdr:spPr>
    </xdr:sp>
    <xdr:clientData/>
  </xdr:twoCellAnchor>
  <xdr:twoCellAnchor>
    <xdr:from>
      <xdr:col>35</xdr:col>
      <xdr:colOff>38064</xdr:colOff>
      <xdr:row>54</xdr:row>
      <xdr:rowOff>19077</xdr:rowOff>
    </xdr:from>
    <xdr:to>
      <xdr:col>38</xdr:col>
      <xdr:colOff>108237</xdr:colOff>
      <xdr:row>58</xdr:row>
      <xdr:rowOff>49078</xdr:rowOff>
    </xdr:to>
    <xdr:grpSp>
      <xdr:nvGrpSpPr>
        <xdr:cNvPr id="172" name="グループ化 171">
          <a:extLst>
            <a:ext uri="{FF2B5EF4-FFF2-40B4-BE49-F238E27FC236}">
              <a16:creationId xmlns:a16="http://schemas.microsoft.com/office/drawing/2014/main" xmlns="" id="{2D316C5B-6DCF-4FEE-ACF8-941B37759672}"/>
            </a:ext>
          </a:extLst>
        </xdr:cNvPr>
        <xdr:cNvGrpSpPr/>
      </xdr:nvGrpSpPr>
      <xdr:grpSpPr>
        <a:xfrm rot="16200000">
          <a:off x="6281151" y="10068276"/>
          <a:ext cx="828286" cy="614459"/>
          <a:chOff x="7692437" y="9083676"/>
          <a:chExt cx="792000" cy="670248"/>
        </a:xfrm>
      </xdr:grpSpPr>
      <xdr:sp macro="" textlink="">
        <xdr:nvSpPr>
          <xdr:cNvPr id="173" name="Rectangle 566">
            <a:extLst>
              <a:ext uri="{FF2B5EF4-FFF2-40B4-BE49-F238E27FC236}">
                <a16:creationId xmlns:a16="http://schemas.microsoft.com/office/drawing/2014/main" xmlns="" id="{C8613023-9EF1-FCAE-2DEC-53B7B61A80FB}"/>
              </a:ext>
            </a:extLst>
          </xdr:cNvPr>
          <xdr:cNvSpPr>
            <a:spLocks noChangeArrowheads="1"/>
          </xdr:cNvSpPr>
        </xdr:nvSpPr>
        <xdr:spPr bwMode="auto">
          <a:xfrm rot="5400000">
            <a:off x="7823199" y="9051926"/>
            <a:ext cx="530475" cy="792000"/>
          </a:xfrm>
          <a:prstGeom prst="rect">
            <a:avLst/>
          </a:prstGeom>
          <a:solidFill>
            <a:sysClr val="window" lastClr="FFFFFF"/>
          </a:solidFill>
          <a:ln w="9525">
            <a:solidFill>
              <a:srgbClr val="000000"/>
            </a:solidFill>
            <a:miter lim="800000"/>
            <a:headEnd/>
            <a:tailEnd/>
          </a:ln>
        </xdr:spPr>
      </xdr:sp>
      <xdr:sp macro="" textlink="">
        <xdr:nvSpPr>
          <xdr:cNvPr id="174" name="Text Box 569">
            <a:extLst>
              <a:ext uri="{FF2B5EF4-FFF2-40B4-BE49-F238E27FC236}">
                <a16:creationId xmlns:a16="http://schemas.microsoft.com/office/drawing/2014/main" xmlns="" id="{D87D04E4-8E72-10C5-F328-5CE282F2EDAF}"/>
              </a:ext>
            </a:extLst>
          </xdr:cNvPr>
          <xdr:cNvSpPr txBox="1">
            <a:spLocks noChangeArrowheads="1"/>
          </xdr:cNvSpPr>
        </xdr:nvSpPr>
        <xdr:spPr bwMode="auto">
          <a:xfrm>
            <a:off x="7897718" y="9083676"/>
            <a:ext cx="400238" cy="670248"/>
          </a:xfrm>
          <a:prstGeom prst="rect">
            <a:avLst/>
          </a:prstGeom>
          <a:noFill/>
          <a:ln w="9525">
            <a:noFill/>
            <a:miter lim="800000"/>
            <a:headEnd/>
            <a:tailEnd/>
          </a:ln>
        </xdr:spPr>
        <xdr:txBody>
          <a:bodyPr vertOverflow="clip" vert="eaVert" wrap="none" lIns="0" tIns="0" rIns="0" bIns="0" anchor="ctr" anchorCtr="1" upright="1">
            <a:noAutofit/>
          </a:bodyPr>
          <a:lstStyle/>
          <a:p>
            <a:pPr algn="l" rtl="0">
              <a:defRPr sz="1000"/>
            </a:pPr>
            <a:r>
              <a:rPr lang="ja-JP" altLang="en-US" sz="900" b="0" i="0" u="none" strike="noStrike" baseline="0">
                <a:solidFill>
                  <a:sysClr val="windowText" lastClr="000000"/>
                </a:solidFill>
                <a:latin typeface="ＭＳ Ｐゴシック"/>
                <a:ea typeface="ＭＳ Ｐゴシック"/>
              </a:rPr>
              <a:t>ジョイント</a:t>
            </a:r>
            <a:endParaRPr lang="en-US" altLang="ja-JP" sz="900" b="0" i="0" u="none" strike="noStrike" baseline="0">
              <a:solidFill>
                <a:sysClr val="windowText" lastClr="000000"/>
              </a:solidFill>
              <a:latin typeface="ＭＳ Ｐゴシック"/>
              <a:ea typeface="ＭＳ Ｐゴシック"/>
            </a:endParaRPr>
          </a:p>
          <a:p>
            <a:pPr algn="l" rtl="0">
              <a:defRPr sz="1000"/>
            </a:pPr>
            <a:r>
              <a:rPr lang="ja-JP" altLang="en-US" sz="900" b="0" i="0" u="none" strike="noStrike" baseline="0">
                <a:solidFill>
                  <a:sysClr val="windowText" lastClr="000000"/>
                </a:solidFill>
                <a:latin typeface="ＭＳ Ｐゴシック"/>
                <a:ea typeface="ＭＳ Ｐゴシック"/>
              </a:rPr>
              <a:t>　　１号機</a:t>
            </a:r>
          </a:p>
        </xdr:txBody>
      </xdr:sp>
    </xdr:grpSp>
    <xdr:clientData/>
  </xdr:twoCellAnchor>
  <xdr:twoCellAnchor>
    <xdr:from>
      <xdr:col>35</xdr:col>
      <xdr:colOff>155578</xdr:colOff>
      <xdr:row>64</xdr:row>
      <xdr:rowOff>61068</xdr:rowOff>
    </xdr:from>
    <xdr:to>
      <xdr:col>38</xdr:col>
      <xdr:colOff>85978</xdr:colOff>
      <xdr:row>68</xdr:row>
      <xdr:rowOff>91068</xdr:rowOff>
    </xdr:to>
    <xdr:sp macro="" textlink="">
      <xdr:nvSpPr>
        <xdr:cNvPr id="175" name="Rectangle 566">
          <a:extLst>
            <a:ext uri="{FF2B5EF4-FFF2-40B4-BE49-F238E27FC236}">
              <a16:creationId xmlns:a16="http://schemas.microsoft.com/office/drawing/2014/main" xmlns="" id="{E134FA8C-CCE9-4898-8574-636EA21FE279}"/>
            </a:ext>
          </a:extLst>
        </xdr:cNvPr>
        <xdr:cNvSpPr>
          <a:spLocks noChangeArrowheads="1"/>
        </xdr:cNvSpPr>
      </xdr:nvSpPr>
      <xdr:spPr bwMode="auto">
        <a:xfrm rot="10800000">
          <a:off x="6621033" y="11791250"/>
          <a:ext cx="484581" cy="815091"/>
        </a:xfrm>
        <a:prstGeom prst="rect">
          <a:avLst/>
        </a:prstGeom>
        <a:solidFill>
          <a:srgbClr val="FFFFFF"/>
        </a:solidFill>
        <a:ln w="9525">
          <a:solidFill>
            <a:srgbClr val="000000"/>
          </a:solidFill>
          <a:miter lim="800000"/>
          <a:headEnd/>
          <a:tailEnd/>
        </a:ln>
      </xdr:spPr>
    </xdr:sp>
    <xdr:clientData/>
  </xdr:twoCellAnchor>
  <xdr:twoCellAnchor>
    <xdr:from>
      <xdr:col>39</xdr:col>
      <xdr:colOff>57150</xdr:colOff>
      <xdr:row>64</xdr:row>
      <xdr:rowOff>29152</xdr:rowOff>
    </xdr:from>
    <xdr:to>
      <xdr:col>43</xdr:col>
      <xdr:colOff>25400</xdr:colOff>
      <xdr:row>68</xdr:row>
      <xdr:rowOff>168275</xdr:rowOff>
    </xdr:to>
    <xdr:sp macro="" textlink="">
      <xdr:nvSpPr>
        <xdr:cNvPr id="176" name="Rectangle 913">
          <a:extLst>
            <a:ext uri="{FF2B5EF4-FFF2-40B4-BE49-F238E27FC236}">
              <a16:creationId xmlns:a16="http://schemas.microsoft.com/office/drawing/2014/main" xmlns="" id="{DC3F7153-6E56-43A2-B74E-B4A1AA3660DA}"/>
            </a:ext>
          </a:extLst>
        </xdr:cNvPr>
        <xdr:cNvSpPr>
          <a:spLocks noChangeArrowheads="1"/>
        </xdr:cNvSpPr>
      </xdr:nvSpPr>
      <xdr:spPr bwMode="auto">
        <a:xfrm>
          <a:off x="7261514" y="11759334"/>
          <a:ext cx="707159" cy="924214"/>
        </a:xfrm>
        <a:prstGeom prst="rect">
          <a:avLst/>
        </a:prstGeom>
        <a:noFill/>
        <a:ln w="3175">
          <a:solidFill>
            <a:srgbClr val="000000"/>
          </a:solidFill>
          <a:miter lim="800000"/>
          <a:headEnd/>
          <a:tailEnd/>
        </a:ln>
      </xdr:spPr>
    </xdr:sp>
    <xdr:clientData/>
  </xdr:twoCellAnchor>
  <xdr:twoCellAnchor>
    <xdr:from>
      <xdr:col>39</xdr:col>
      <xdr:colOff>47625</xdr:colOff>
      <xdr:row>53</xdr:row>
      <xdr:rowOff>146050</xdr:rowOff>
    </xdr:from>
    <xdr:to>
      <xdr:col>43</xdr:col>
      <xdr:colOff>15875</xdr:colOff>
      <xdr:row>58</xdr:row>
      <xdr:rowOff>83128</xdr:rowOff>
    </xdr:to>
    <xdr:sp macro="" textlink="">
      <xdr:nvSpPr>
        <xdr:cNvPr id="177" name="Rectangle 913">
          <a:extLst>
            <a:ext uri="{FF2B5EF4-FFF2-40B4-BE49-F238E27FC236}">
              <a16:creationId xmlns:a16="http://schemas.microsoft.com/office/drawing/2014/main" xmlns="" id="{12C9CDD4-018B-4F8F-AFBA-2CC37D0E559D}"/>
            </a:ext>
          </a:extLst>
        </xdr:cNvPr>
        <xdr:cNvSpPr>
          <a:spLocks noChangeArrowheads="1"/>
        </xdr:cNvSpPr>
      </xdr:nvSpPr>
      <xdr:spPr bwMode="auto">
        <a:xfrm>
          <a:off x="7251989" y="9717232"/>
          <a:ext cx="707159" cy="918441"/>
        </a:xfrm>
        <a:prstGeom prst="rect">
          <a:avLst/>
        </a:prstGeom>
        <a:noFill/>
        <a:ln w="3175">
          <a:solidFill>
            <a:srgbClr val="000000"/>
          </a:solidFill>
          <a:miter lim="800000"/>
          <a:headEnd/>
          <a:tailEnd/>
        </a:ln>
      </xdr:spPr>
    </xdr:sp>
    <xdr:clientData/>
  </xdr:twoCellAnchor>
  <xdr:twoCellAnchor>
    <xdr:from>
      <xdr:col>39</xdr:col>
      <xdr:colOff>47625</xdr:colOff>
      <xdr:row>58</xdr:row>
      <xdr:rowOff>190501</xdr:rowOff>
    </xdr:from>
    <xdr:to>
      <xdr:col>43</xdr:col>
      <xdr:colOff>15875</xdr:colOff>
      <xdr:row>63</xdr:row>
      <xdr:rowOff>133350</xdr:rowOff>
    </xdr:to>
    <xdr:sp macro="" textlink="">
      <xdr:nvSpPr>
        <xdr:cNvPr id="178" name="Rectangle 913">
          <a:extLst>
            <a:ext uri="{FF2B5EF4-FFF2-40B4-BE49-F238E27FC236}">
              <a16:creationId xmlns:a16="http://schemas.microsoft.com/office/drawing/2014/main" xmlns="" id="{BFC94D9A-2CFB-4BB4-83A8-A60520E81AD7}"/>
            </a:ext>
          </a:extLst>
        </xdr:cNvPr>
        <xdr:cNvSpPr>
          <a:spLocks noChangeArrowheads="1"/>
        </xdr:cNvSpPr>
      </xdr:nvSpPr>
      <xdr:spPr bwMode="auto">
        <a:xfrm>
          <a:off x="7251989" y="10743046"/>
          <a:ext cx="707159" cy="924213"/>
        </a:xfrm>
        <a:prstGeom prst="rect">
          <a:avLst/>
        </a:prstGeom>
        <a:noFill/>
        <a:ln w="3175">
          <a:solidFill>
            <a:srgbClr val="000000"/>
          </a:solidFill>
          <a:miter lim="800000"/>
          <a:headEnd/>
          <a:tailEnd/>
        </a:ln>
      </xdr:spPr>
    </xdr:sp>
    <xdr:clientData/>
  </xdr:twoCellAnchor>
  <xdr:twoCellAnchor>
    <xdr:from>
      <xdr:col>14</xdr:col>
      <xdr:colOff>152400</xdr:colOff>
      <xdr:row>83</xdr:row>
      <xdr:rowOff>177800</xdr:rowOff>
    </xdr:from>
    <xdr:to>
      <xdr:col>26</xdr:col>
      <xdr:colOff>120650</xdr:colOff>
      <xdr:row>88</xdr:row>
      <xdr:rowOff>181284</xdr:rowOff>
    </xdr:to>
    <xdr:grpSp>
      <xdr:nvGrpSpPr>
        <xdr:cNvPr id="179" name="グループ化 178">
          <a:extLst>
            <a:ext uri="{FF2B5EF4-FFF2-40B4-BE49-F238E27FC236}">
              <a16:creationId xmlns:a16="http://schemas.microsoft.com/office/drawing/2014/main" xmlns="" id="{9326306E-B352-4C1F-8654-FFAE45C4F146}"/>
            </a:ext>
          </a:extLst>
        </xdr:cNvPr>
        <xdr:cNvGrpSpPr/>
      </xdr:nvGrpSpPr>
      <xdr:grpSpPr>
        <a:xfrm>
          <a:off x="2692400" y="15907657"/>
          <a:ext cx="2145393" cy="1001341"/>
          <a:chOff x="2609850" y="7029450"/>
          <a:chExt cx="2517775" cy="1000125"/>
        </a:xfrm>
      </xdr:grpSpPr>
      <xdr:grpSp>
        <xdr:nvGrpSpPr>
          <xdr:cNvPr id="180" name="Group 337">
            <a:extLst>
              <a:ext uri="{FF2B5EF4-FFF2-40B4-BE49-F238E27FC236}">
                <a16:creationId xmlns:a16="http://schemas.microsoft.com/office/drawing/2014/main" xmlns="" id="{FFDB5248-3E68-A8F4-CDDD-43843C60AB61}"/>
              </a:ext>
            </a:extLst>
          </xdr:cNvPr>
          <xdr:cNvGrpSpPr>
            <a:grpSpLocks/>
          </xdr:cNvGrpSpPr>
        </xdr:nvGrpSpPr>
        <xdr:grpSpPr bwMode="auto">
          <a:xfrm>
            <a:off x="2660650" y="7029450"/>
            <a:ext cx="2438400" cy="1000125"/>
            <a:chOff x="273" y="2454"/>
            <a:chExt cx="252" cy="105"/>
          </a:xfrm>
        </xdr:grpSpPr>
        <xdr:sp macro="" textlink="">
          <xdr:nvSpPr>
            <xdr:cNvPr id="183" name="Line 273">
              <a:extLst>
                <a:ext uri="{FF2B5EF4-FFF2-40B4-BE49-F238E27FC236}">
                  <a16:creationId xmlns:a16="http://schemas.microsoft.com/office/drawing/2014/main" xmlns="" id="{37E99427-2357-7449-9F30-C1BD6A03C85E}"/>
                </a:ext>
              </a:extLst>
            </xdr:cNvPr>
            <xdr:cNvSpPr>
              <a:spLocks noChangeShapeType="1"/>
            </xdr:cNvSpPr>
          </xdr:nvSpPr>
          <xdr:spPr bwMode="auto">
            <a:xfrm rot="5400000">
              <a:off x="399" y="2328"/>
              <a:ext cx="0" cy="251"/>
            </a:xfrm>
            <a:prstGeom prst="line">
              <a:avLst/>
            </a:prstGeom>
            <a:noFill/>
            <a:ln w="9525">
              <a:solidFill>
                <a:srgbClr val="000000"/>
              </a:solidFill>
              <a:round/>
              <a:headEnd/>
              <a:tailEnd/>
            </a:ln>
          </xdr:spPr>
        </xdr:sp>
        <xdr:sp macro="" textlink="">
          <xdr:nvSpPr>
            <xdr:cNvPr id="184" name="Line 274">
              <a:extLst>
                <a:ext uri="{FF2B5EF4-FFF2-40B4-BE49-F238E27FC236}">
                  <a16:creationId xmlns:a16="http://schemas.microsoft.com/office/drawing/2014/main" xmlns="" id="{93FF5369-97B9-89B7-AF2E-70939D24C846}"/>
                </a:ext>
              </a:extLst>
            </xdr:cNvPr>
            <xdr:cNvSpPr>
              <a:spLocks noChangeShapeType="1"/>
            </xdr:cNvSpPr>
          </xdr:nvSpPr>
          <xdr:spPr bwMode="auto">
            <a:xfrm rot="5400000">
              <a:off x="399" y="2433"/>
              <a:ext cx="0" cy="252"/>
            </a:xfrm>
            <a:prstGeom prst="line">
              <a:avLst/>
            </a:prstGeom>
            <a:noFill/>
            <a:ln w="9525">
              <a:solidFill>
                <a:srgbClr val="000000"/>
              </a:solidFill>
              <a:round/>
              <a:headEnd/>
              <a:tailEnd/>
            </a:ln>
          </xdr:spPr>
        </xdr:sp>
        <xdr:sp macro="" textlink="">
          <xdr:nvSpPr>
            <xdr:cNvPr id="185" name="Line 275">
              <a:extLst>
                <a:ext uri="{FF2B5EF4-FFF2-40B4-BE49-F238E27FC236}">
                  <a16:creationId xmlns:a16="http://schemas.microsoft.com/office/drawing/2014/main" xmlns="" id="{1B7B8C0F-B4DD-2882-57C9-7D96F59F6E30}"/>
                </a:ext>
              </a:extLst>
            </xdr:cNvPr>
            <xdr:cNvSpPr>
              <a:spLocks noChangeShapeType="1"/>
            </xdr:cNvSpPr>
          </xdr:nvSpPr>
          <xdr:spPr bwMode="auto">
            <a:xfrm rot="5400000">
              <a:off x="466" y="2506"/>
              <a:ext cx="104" cy="0"/>
            </a:xfrm>
            <a:prstGeom prst="line">
              <a:avLst/>
            </a:prstGeom>
            <a:noFill/>
            <a:ln w="9525">
              <a:solidFill>
                <a:srgbClr val="000000"/>
              </a:solidFill>
              <a:round/>
              <a:headEnd/>
              <a:tailEnd/>
            </a:ln>
          </xdr:spPr>
        </xdr:sp>
        <xdr:sp macro="" textlink="">
          <xdr:nvSpPr>
            <xdr:cNvPr id="186" name="Line 276">
              <a:extLst>
                <a:ext uri="{FF2B5EF4-FFF2-40B4-BE49-F238E27FC236}">
                  <a16:creationId xmlns:a16="http://schemas.microsoft.com/office/drawing/2014/main" xmlns="" id="{F4279B61-4B2B-37A3-CAD3-9498FC421721}"/>
                </a:ext>
              </a:extLst>
            </xdr:cNvPr>
            <xdr:cNvSpPr>
              <a:spLocks noChangeShapeType="1"/>
            </xdr:cNvSpPr>
          </xdr:nvSpPr>
          <xdr:spPr bwMode="auto">
            <a:xfrm rot="5400000">
              <a:off x="446" y="2506"/>
              <a:ext cx="104" cy="0"/>
            </a:xfrm>
            <a:prstGeom prst="line">
              <a:avLst/>
            </a:prstGeom>
            <a:noFill/>
            <a:ln w="9525">
              <a:solidFill>
                <a:srgbClr val="000000"/>
              </a:solidFill>
              <a:round/>
              <a:headEnd/>
              <a:tailEnd/>
            </a:ln>
          </xdr:spPr>
        </xdr:sp>
        <xdr:sp macro="" textlink="">
          <xdr:nvSpPr>
            <xdr:cNvPr id="187" name="Line 277">
              <a:extLst>
                <a:ext uri="{FF2B5EF4-FFF2-40B4-BE49-F238E27FC236}">
                  <a16:creationId xmlns:a16="http://schemas.microsoft.com/office/drawing/2014/main" xmlns="" id="{891CACDF-76E6-EB5A-CE29-86BF9FB8346D}"/>
                </a:ext>
              </a:extLst>
            </xdr:cNvPr>
            <xdr:cNvSpPr>
              <a:spLocks noChangeShapeType="1"/>
            </xdr:cNvSpPr>
          </xdr:nvSpPr>
          <xdr:spPr bwMode="auto">
            <a:xfrm rot="5400000">
              <a:off x="426" y="2506"/>
              <a:ext cx="104" cy="0"/>
            </a:xfrm>
            <a:prstGeom prst="line">
              <a:avLst/>
            </a:prstGeom>
            <a:noFill/>
            <a:ln w="9525">
              <a:solidFill>
                <a:srgbClr val="000000"/>
              </a:solidFill>
              <a:round/>
              <a:headEnd/>
              <a:tailEnd/>
            </a:ln>
          </xdr:spPr>
        </xdr:sp>
        <xdr:sp macro="" textlink="">
          <xdr:nvSpPr>
            <xdr:cNvPr id="188" name="Line 278">
              <a:extLst>
                <a:ext uri="{FF2B5EF4-FFF2-40B4-BE49-F238E27FC236}">
                  <a16:creationId xmlns:a16="http://schemas.microsoft.com/office/drawing/2014/main" xmlns="" id="{6DF29B0C-6BAF-9243-872A-1D1F6E36A7C6}"/>
                </a:ext>
              </a:extLst>
            </xdr:cNvPr>
            <xdr:cNvSpPr>
              <a:spLocks noChangeShapeType="1"/>
            </xdr:cNvSpPr>
          </xdr:nvSpPr>
          <xdr:spPr bwMode="auto">
            <a:xfrm rot="5400000">
              <a:off x="406" y="2506"/>
              <a:ext cx="104" cy="0"/>
            </a:xfrm>
            <a:prstGeom prst="line">
              <a:avLst/>
            </a:prstGeom>
            <a:noFill/>
            <a:ln w="9525">
              <a:solidFill>
                <a:srgbClr val="000000"/>
              </a:solidFill>
              <a:round/>
              <a:headEnd/>
              <a:tailEnd/>
            </a:ln>
          </xdr:spPr>
        </xdr:sp>
        <xdr:sp macro="" textlink="">
          <xdr:nvSpPr>
            <xdr:cNvPr id="189" name="Line 279">
              <a:extLst>
                <a:ext uri="{FF2B5EF4-FFF2-40B4-BE49-F238E27FC236}">
                  <a16:creationId xmlns:a16="http://schemas.microsoft.com/office/drawing/2014/main" xmlns="" id="{A89583AC-E42E-A0E8-39E8-4A88674C1CE6}"/>
                </a:ext>
              </a:extLst>
            </xdr:cNvPr>
            <xdr:cNvSpPr>
              <a:spLocks noChangeShapeType="1"/>
            </xdr:cNvSpPr>
          </xdr:nvSpPr>
          <xdr:spPr bwMode="auto">
            <a:xfrm rot="5400000">
              <a:off x="386" y="2506"/>
              <a:ext cx="104" cy="0"/>
            </a:xfrm>
            <a:prstGeom prst="line">
              <a:avLst/>
            </a:prstGeom>
            <a:noFill/>
            <a:ln w="9525">
              <a:solidFill>
                <a:srgbClr val="000000"/>
              </a:solidFill>
              <a:round/>
              <a:headEnd/>
              <a:tailEnd/>
            </a:ln>
          </xdr:spPr>
        </xdr:sp>
        <xdr:sp macro="" textlink="">
          <xdr:nvSpPr>
            <xdr:cNvPr id="190" name="Line 280">
              <a:extLst>
                <a:ext uri="{FF2B5EF4-FFF2-40B4-BE49-F238E27FC236}">
                  <a16:creationId xmlns:a16="http://schemas.microsoft.com/office/drawing/2014/main" xmlns="" id="{82356F86-B539-4E6E-C88B-1AE38B87F663}"/>
                </a:ext>
              </a:extLst>
            </xdr:cNvPr>
            <xdr:cNvSpPr>
              <a:spLocks noChangeShapeType="1"/>
            </xdr:cNvSpPr>
          </xdr:nvSpPr>
          <xdr:spPr bwMode="auto">
            <a:xfrm rot="5400000">
              <a:off x="366" y="2506"/>
              <a:ext cx="104" cy="0"/>
            </a:xfrm>
            <a:prstGeom prst="line">
              <a:avLst/>
            </a:prstGeom>
            <a:noFill/>
            <a:ln w="9525">
              <a:solidFill>
                <a:srgbClr val="000000"/>
              </a:solidFill>
              <a:round/>
              <a:headEnd/>
              <a:tailEnd/>
            </a:ln>
          </xdr:spPr>
        </xdr:sp>
        <xdr:sp macro="" textlink="">
          <xdr:nvSpPr>
            <xdr:cNvPr id="191" name="Line 281">
              <a:extLst>
                <a:ext uri="{FF2B5EF4-FFF2-40B4-BE49-F238E27FC236}">
                  <a16:creationId xmlns:a16="http://schemas.microsoft.com/office/drawing/2014/main" xmlns="" id="{C447B94D-4AD1-443E-20D3-D8B19758E1EF}"/>
                </a:ext>
              </a:extLst>
            </xdr:cNvPr>
            <xdr:cNvSpPr>
              <a:spLocks noChangeShapeType="1"/>
            </xdr:cNvSpPr>
          </xdr:nvSpPr>
          <xdr:spPr bwMode="auto">
            <a:xfrm rot="5400000">
              <a:off x="346" y="2506"/>
              <a:ext cx="104" cy="0"/>
            </a:xfrm>
            <a:prstGeom prst="line">
              <a:avLst/>
            </a:prstGeom>
            <a:noFill/>
            <a:ln w="9525">
              <a:solidFill>
                <a:srgbClr val="000000"/>
              </a:solidFill>
              <a:round/>
              <a:headEnd/>
              <a:tailEnd/>
            </a:ln>
          </xdr:spPr>
        </xdr:sp>
        <xdr:sp macro="" textlink="">
          <xdr:nvSpPr>
            <xdr:cNvPr id="192" name="Line 282">
              <a:extLst>
                <a:ext uri="{FF2B5EF4-FFF2-40B4-BE49-F238E27FC236}">
                  <a16:creationId xmlns:a16="http://schemas.microsoft.com/office/drawing/2014/main" xmlns="" id="{FC069F84-88D1-79E3-9063-4AB618180C3C}"/>
                </a:ext>
              </a:extLst>
            </xdr:cNvPr>
            <xdr:cNvSpPr>
              <a:spLocks noChangeShapeType="1"/>
            </xdr:cNvSpPr>
          </xdr:nvSpPr>
          <xdr:spPr bwMode="auto">
            <a:xfrm rot="5400000">
              <a:off x="326" y="2506"/>
              <a:ext cx="104" cy="0"/>
            </a:xfrm>
            <a:prstGeom prst="line">
              <a:avLst/>
            </a:prstGeom>
            <a:noFill/>
            <a:ln w="9525">
              <a:solidFill>
                <a:srgbClr val="000000"/>
              </a:solidFill>
              <a:round/>
              <a:headEnd/>
              <a:tailEnd/>
            </a:ln>
          </xdr:spPr>
        </xdr:sp>
        <xdr:sp macro="" textlink="">
          <xdr:nvSpPr>
            <xdr:cNvPr id="193" name="Line 283">
              <a:extLst>
                <a:ext uri="{FF2B5EF4-FFF2-40B4-BE49-F238E27FC236}">
                  <a16:creationId xmlns:a16="http://schemas.microsoft.com/office/drawing/2014/main" xmlns="" id="{55C265ED-3E0B-A563-2B89-10CC56BEE251}"/>
                </a:ext>
              </a:extLst>
            </xdr:cNvPr>
            <xdr:cNvSpPr>
              <a:spLocks noChangeShapeType="1"/>
            </xdr:cNvSpPr>
          </xdr:nvSpPr>
          <xdr:spPr bwMode="auto">
            <a:xfrm rot="5400000">
              <a:off x="306" y="2506"/>
              <a:ext cx="104" cy="0"/>
            </a:xfrm>
            <a:prstGeom prst="line">
              <a:avLst/>
            </a:prstGeom>
            <a:noFill/>
            <a:ln w="9525">
              <a:solidFill>
                <a:srgbClr val="000000"/>
              </a:solidFill>
              <a:round/>
              <a:headEnd/>
              <a:tailEnd/>
            </a:ln>
          </xdr:spPr>
        </xdr:sp>
        <xdr:sp macro="" textlink="">
          <xdr:nvSpPr>
            <xdr:cNvPr id="194" name="Line 284">
              <a:extLst>
                <a:ext uri="{FF2B5EF4-FFF2-40B4-BE49-F238E27FC236}">
                  <a16:creationId xmlns:a16="http://schemas.microsoft.com/office/drawing/2014/main" xmlns="" id="{B82933F6-0833-3B9A-42AB-526A17F5F571}"/>
                </a:ext>
              </a:extLst>
            </xdr:cNvPr>
            <xdr:cNvSpPr>
              <a:spLocks noChangeShapeType="1"/>
            </xdr:cNvSpPr>
          </xdr:nvSpPr>
          <xdr:spPr bwMode="auto">
            <a:xfrm rot="5400000">
              <a:off x="286" y="2506"/>
              <a:ext cx="104" cy="0"/>
            </a:xfrm>
            <a:prstGeom prst="line">
              <a:avLst/>
            </a:prstGeom>
            <a:noFill/>
            <a:ln w="9525">
              <a:solidFill>
                <a:srgbClr val="000000"/>
              </a:solidFill>
              <a:round/>
              <a:headEnd/>
              <a:tailEnd/>
            </a:ln>
          </xdr:spPr>
        </xdr:sp>
        <xdr:sp macro="" textlink="">
          <xdr:nvSpPr>
            <xdr:cNvPr id="195" name="Line 285">
              <a:extLst>
                <a:ext uri="{FF2B5EF4-FFF2-40B4-BE49-F238E27FC236}">
                  <a16:creationId xmlns:a16="http://schemas.microsoft.com/office/drawing/2014/main" xmlns="" id="{162F7125-80C8-0773-653C-B4C54E9A5EAB}"/>
                </a:ext>
              </a:extLst>
            </xdr:cNvPr>
            <xdr:cNvSpPr>
              <a:spLocks noChangeShapeType="1"/>
            </xdr:cNvSpPr>
          </xdr:nvSpPr>
          <xdr:spPr bwMode="auto">
            <a:xfrm rot="5400000">
              <a:off x="266" y="2507"/>
              <a:ext cx="104" cy="0"/>
            </a:xfrm>
            <a:prstGeom prst="line">
              <a:avLst/>
            </a:prstGeom>
            <a:noFill/>
            <a:ln w="9525">
              <a:solidFill>
                <a:srgbClr val="000000"/>
              </a:solidFill>
              <a:round/>
              <a:headEnd/>
              <a:tailEnd/>
            </a:ln>
          </xdr:spPr>
        </xdr:sp>
        <xdr:sp macro="" textlink="">
          <xdr:nvSpPr>
            <xdr:cNvPr id="196" name="Line 286">
              <a:extLst>
                <a:ext uri="{FF2B5EF4-FFF2-40B4-BE49-F238E27FC236}">
                  <a16:creationId xmlns:a16="http://schemas.microsoft.com/office/drawing/2014/main" xmlns="" id="{DA8B3EBB-33A0-813A-35FB-AF03A9DF7A09}"/>
                </a:ext>
              </a:extLst>
            </xdr:cNvPr>
            <xdr:cNvSpPr>
              <a:spLocks noChangeShapeType="1"/>
            </xdr:cNvSpPr>
          </xdr:nvSpPr>
          <xdr:spPr bwMode="auto">
            <a:xfrm rot="5400000">
              <a:off x="246" y="2506"/>
              <a:ext cx="104" cy="0"/>
            </a:xfrm>
            <a:prstGeom prst="line">
              <a:avLst/>
            </a:prstGeom>
            <a:noFill/>
            <a:ln w="9525">
              <a:solidFill>
                <a:srgbClr val="000000"/>
              </a:solidFill>
              <a:round/>
              <a:headEnd/>
              <a:tailEnd/>
            </a:ln>
          </xdr:spPr>
        </xdr:sp>
        <xdr:sp macro="" textlink="">
          <xdr:nvSpPr>
            <xdr:cNvPr id="197" name="Line 287">
              <a:extLst>
                <a:ext uri="{FF2B5EF4-FFF2-40B4-BE49-F238E27FC236}">
                  <a16:creationId xmlns:a16="http://schemas.microsoft.com/office/drawing/2014/main" xmlns="" id="{EF4E176D-6A4F-1149-59E6-0AF099998C5D}"/>
                </a:ext>
              </a:extLst>
            </xdr:cNvPr>
            <xdr:cNvSpPr>
              <a:spLocks noChangeShapeType="1"/>
            </xdr:cNvSpPr>
          </xdr:nvSpPr>
          <xdr:spPr bwMode="auto">
            <a:xfrm rot="5400000">
              <a:off x="226" y="2506"/>
              <a:ext cx="104" cy="0"/>
            </a:xfrm>
            <a:prstGeom prst="line">
              <a:avLst/>
            </a:prstGeom>
            <a:noFill/>
            <a:ln w="9525">
              <a:solidFill>
                <a:srgbClr val="000000"/>
              </a:solidFill>
              <a:round/>
              <a:headEnd/>
              <a:tailEnd/>
            </a:ln>
          </xdr:spPr>
        </xdr:sp>
      </xdr:grpSp>
      <xdr:sp macro="" textlink="">
        <xdr:nvSpPr>
          <xdr:cNvPr id="181" name="Line 289">
            <a:extLst>
              <a:ext uri="{FF2B5EF4-FFF2-40B4-BE49-F238E27FC236}">
                <a16:creationId xmlns:a16="http://schemas.microsoft.com/office/drawing/2014/main" xmlns="" id="{8E44E0FD-5A1E-9737-8DA3-B21B7DBC029B}"/>
              </a:ext>
            </a:extLst>
          </xdr:cNvPr>
          <xdr:cNvSpPr>
            <a:spLocks noChangeShapeType="1"/>
          </xdr:cNvSpPr>
        </xdr:nvSpPr>
        <xdr:spPr bwMode="auto">
          <a:xfrm rot="5400000">
            <a:off x="3865600" y="6300787"/>
            <a:ext cx="0" cy="2428875"/>
          </a:xfrm>
          <a:prstGeom prst="line">
            <a:avLst/>
          </a:prstGeom>
          <a:noFill/>
          <a:ln w="9525">
            <a:solidFill>
              <a:srgbClr val="000000"/>
            </a:solidFill>
            <a:round/>
            <a:headEnd/>
            <a:tailEnd/>
          </a:ln>
        </xdr:spPr>
      </xdr:sp>
      <xdr:sp macro="" textlink="">
        <xdr:nvSpPr>
          <xdr:cNvPr id="182" name="Freeform 315">
            <a:extLst>
              <a:ext uri="{FF2B5EF4-FFF2-40B4-BE49-F238E27FC236}">
                <a16:creationId xmlns:a16="http://schemas.microsoft.com/office/drawing/2014/main" xmlns="" id="{3CE6C912-8A26-6651-E352-494C422585D5}"/>
              </a:ext>
            </a:extLst>
          </xdr:cNvPr>
          <xdr:cNvSpPr>
            <a:spLocks/>
          </xdr:cNvSpPr>
        </xdr:nvSpPr>
        <xdr:spPr bwMode="auto">
          <a:xfrm>
            <a:off x="2609850" y="7315200"/>
            <a:ext cx="2517775" cy="447675"/>
          </a:xfrm>
          <a:custGeom>
            <a:avLst/>
            <a:gdLst/>
            <a:ahLst/>
            <a:cxnLst>
              <a:cxn ang="0">
                <a:pos x="2" y="0"/>
              </a:cxn>
              <a:cxn ang="0">
                <a:pos x="278" y="0"/>
              </a:cxn>
              <a:cxn ang="0">
                <a:pos x="278" y="47"/>
              </a:cxn>
              <a:cxn ang="0">
                <a:pos x="0" y="47"/>
              </a:cxn>
            </a:cxnLst>
            <a:rect l="0" t="0" r="r" b="b"/>
            <a:pathLst>
              <a:path w="278" h="47">
                <a:moveTo>
                  <a:pt x="2" y="0"/>
                </a:moveTo>
                <a:lnTo>
                  <a:pt x="278" y="0"/>
                </a:lnTo>
                <a:lnTo>
                  <a:pt x="278" y="47"/>
                </a:lnTo>
                <a:lnTo>
                  <a:pt x="0" y="47"/>
                </a:lnTo>
              </a:path>
            </a:pathLst>
          </a:custGeom>
          <a:noFill/>
          <a:ln w="9525" cap="flat" cmpd="sng">
            <a:solidFill>
              <a:srgbClr val="000000"/>
            </a:solidFill>
            <a:prstDash val="solid"/>
            <a:round/>
            <a:headEnd type="none" w="med" len="med"/>
            <a:tailEnd type="triangle" w="med" len="med"/>
          </a:ln>
        </xdr:spPr>
      </xdr:sp>
    </xdr:grpSp>
    <xdr:clientData/>
  </xdr:twoCellAnchor>
  <xdr:twoCellAnchor>
    <xdr:from>
      <xdr:col>40</xdr:col>
      <xdr:colOff>35324</xdr:colOff>
      <xdr:row>49</xdr:row>
      <xdr:rowOff>92477</xdr:rowOff>
    </xdr:from>
    <xdr:to>
      <xdr:col>41</xdr:col>
      <xdr:colOff>182599</xdr:colOff>
      <xdr:row>51</xdr:row>
      <xdr:rowOff>71477</xdr:rowOff>
    </xdr:to>
    <xdr:sp macro="" textlink="">
      <xdr:nvSpPr>
        <xdr:cNvPr id="198" name="Rectangle 565">
          <a:extLst>
            <a:ext uri="{FF2B5EF4-FFF2-40B4-BE49-F238E27FC236}">
              <a16:creationId xmlns:a16="http://schemas.microsoft.com/office/drawing/2014/main" xmlns="" id="{BD855E96-D873-4803-A60C-46069275CC9E}"/>
            </a:ext>
          </a:extLst>
        </xdr:cNvPr>
        <xdr:cNvSpPr>
          <a:spLocks noChangeArrowheads="1"/>
        </xdr:cNvSpPr>
      </xdr:nvSpPr>
      <xdr:spPr bwMode="auto">
        <a:xfrm>
          <a:off x="7424415" y="8878568"/>
          <a:ext cx="332002" cy="371545"/>
        </a:xfrm>
        <a:prstGeom prst="rect">
          <a:avLst/>
        </a:prstGeom>
        <a:solidFill>
          <a:srgbClr val="FFFFFF"/>
        </a:solidFill>
        <a:ln w="9525">
          <a:solidFill>
            <a:srgbClr val="000000"/>
          </a:solidFill>
          <a:miter lim="800000"/>
          <a:headEnd/>
          <a:tailEnd/>
        </a:ln>
      </xdr:spPr>
    </xdr:sp>
    <xdr:clientData/>
  </xdr:twoCellAnchor>
  <xdr:twoCellAnchor>
    <xdr:from>
      <xdr:col>40</xdr:col>
      <xdr:colOff>38499</xdr:colOff>
      <xdr:row>47</xdr:row>
      <xdr:rowOff>92477</xdr:rowOff>
    </xdr:from>
    <xdr:to>
      <xdr:col>42</xdr:col>
      <xdr:colOff>1047</xdr:colOff>
      <xdr:row>49</xdr:row>
      <xdr:rowOff>71477</xdr:rowOff>
    </xdr:to>
    <xdr:sp macro="" textlink="">
      <xdr:nvSpPr>
        <xdr:cNvPr id="199" name="Rectangle 565">
          <a:extLst>
            <a:ext uri="{FF2B5EF4-FFF2-40B4-BE49-F238E27FC236}">
              <a16:creationId xmlns:a16="http://schemas.microsoft.com/office/drawing/2014/main" xmlns="" id="{961772E7-9B27-432A-A3EB-A045B8A1842C}"/>
            </a:ext>
          </a:extLst>
        </xdr:cNvPr>
        <xdr:cNvSpPr>
          <a:spLocks noChangeArrowheads="1"/>
        </xdr:cNvSpPr>
      </xdr:nvSpPr>
      <xdr:spPr bwMode="auto">
        <a:xfrm>
          <a:off x="7427590" y="8486022"/>
          <a:ext cx="332002" cy="371546"/>
        </a:xfrm>
        <a:prstGeom prst="rect">
          <a:avLst/>
        </a:prstGeom>
        <a:solidFill>
          <a:srgbClr val="FFFFFF"/>
        </a:solidFill>
        <a:ln w="9525">
          <a:solidFill>
            <a:srgbClr val="000000"/>
          </a:solidFill>
          <a:miter lim="800000"/>
          <a:headEnd/>
          <a:tailEnd/>
        </a:ln>
      </xdr:spPr>
    </xdr:sp>
    <xdr:clientData/>
  </xdr:twoCellAnchor>
  <xdr:twoCellAnchor>
    <xdr:from>
      <xdr:col>35</xdr:col>
      <xdr:colOff>86124</xdr:colOff>
      <xdr:row>82</xdr:row>
      <xdr:rowOff>13102</xdr:rowOff>
    </xdr:from>
    <xdr:to>
      <xdr:col>39</xdr:col>
      <xdr:colOff>57549</xdr:colOff>
      <xdr:row>86</xdr:row>
      <xdr:rowOff>152224</xdr:rowOff>
    </xdr:to>
    <xdr:sp macro="" textlink="">
      <xdr:nvSpPr>
        <xdr:cNvPr id="200" name="Rectangle 913">
          <a:extLst>
            <a:ext uri="{FF2B5EF4-FFF2-40B4-BE49-F238E27FC236}">
              <a16:creationId xmlns:a16="http://schemas.microsoft.com/office/drawing/2014/main" xmlns="" id="{52CD14E2-BC1B-43D6-8C03-5C6EB81B533A}"/>
            </a:ext>
          </a:extLst>
        </xdr:cNvPr>
        <xdr:cNvSpPr>
          <a:spLocks noChangeArrowheads="1"/>
        </xdr:cNvSpPr>
      </xdr:nvSpPr>
      <xdr:spPr bwMode="auto">
        <a:xfrm>
          <a:off x="6551579" y="15276193"/>
          <a:ext cx="710334" cy="924213"/>
        </a:xfrm>
        <a:prstGeom prst="rect">
          <a:avLst/>
        </a:prstGeom>
        <a:noFill/>
        <a:ln w="3175">
          <a:solidFill>
            <a:srgbClr val="000000"/>
          </a:solidFill>
          <a:miter lim="800000"/>
          <a:headEnd/>
          <a:tailEnd/>
        </a:ln>
      </xdr:spPr>
    </xdr:sp>
    <xdr:clientData/>
  </xdr:twoCellAnchor>
  <xdr:twoCellAnchor>
    <xdr:from>
      <xdr:col>59</xdr:col>
      <xdr:colOff>146449</xdr:colOff>
      <xdr:row>54</xdr:row>
      <xdr:rowOff>95655</xdr:rowOff>
    </xdr:from>
    <xdr:to>
      <xdr:col>63</xdr:col>
      <xdr:colOff>117874</xdr:colOff>
      <xdr:row>59</xdr:row>
      <xdr:rowOff>38506</xdr:rowOff>
    </xdr:to>
    <xdr:sp macro="" textlink="">
      <xdr:nvSpPr>
        <xdr:cNvPr id="201" name="Rectangle 913">
          <a:extLst>
            <a:ext uri="{FF2B5EF4-FFF2-40B4-BE49-F238E27FC236}">
              <a16:creationId xmlns:a16="http://schemas.microsoft.com/office/drawing/2014/main" xmlns="" id="{2BB023A2-7E48-44D9-A302-7E6F602A2709}"/>
            </a:ext>
          </a:extLst>
        </xdr:cNvPr>
        <xdr:cNvSpPr>
          <a:spLocks noChangeArrowheads="1"/>
        </xdr:cNvSpPr>
      </xdr:nvSpPr>
      <xdr:spPr bwMode="auto">
        <a:xfrm rot="10800000">
          <a:off x="11045358" y="9863110"/>
          <a:ext cx="710334" cy="924214"/>
        </a:xfrm>
        <a:prstGeom prst="rect">
          <a:avLst/>
        </a:prstGeom>
        <a:noFill/>
        <a:ln w="3175">
          <a:solidFill>
            <a:srgbClr val="000000"/>
          </a:solidFill>
          <a:miter lim="800000"/>
          <a:headEnd/>
          <a:tailEnd/>
        </a:ln>
      </xdr:spPr>
    </xdr:sp>
    <xdr:clientData/>
  </xdr:twoCellAnchor>
  <xdr:oneCellAnchor>
    <xdr:from>
      <xdr:col>39</xdr:col>
      <xdr:colOff>120650</xdr:colOff>
      <xdr:row>51</xdr:row>
      <xdr:rowOff>101707</xdr:rowOff>
    </xdr:from>
    <xdr:ext cx="566886" cy="200119"/>
    <xdr:sp macro="" textlink="">
      <xdr:nvSpPr>
        <xdr:cNvPr id="202" name="Text Box 587">
          <a:extLst>
            <a:ext uri="{FF2B5EF4-FFF2-40B4-BE49-F238E27FC236}">
              <a16:creationId xmlns:a16="http://schemas.microsoft.com/office/drawing/2014/main" xmlns="" id="{E11AA453-6FF3-4333-AED3-7BB11DE5B88C}"/>
            </a:ext>
          </a:extLst>
        </xdr:cNvPr>
        <xdr:cNvSpPr txBox="1">
          <a:spLocks noChangeArrowheads="1"/>
        </xdr:cNvSpPr>
      </xdr:nvSpPr>
      <xdr:spPr bwMode="auto">
        <a:xfrm>
          <a:off x="7325014" y="9280343"/>
          <a:ext cx="566886" cy="200119"/>
        </a:xfrm>
        <a:prstGeom prst="rect">
          <a:avLst/>
        </a:prstGeom>
        <a:noFill/>
        <a:ln w="9525">
          <a:noFill/>
          <a:miter lim="800000"/>
          <a:headEnd/>
          <a:tailEnd/>
        </a:ln>
      </xdr:spPr>
      <xdr:txBody>
        <a:bodyPr vertOverflow="clip" vert="horz" wrap="none" lIns="0" tIns="0" rIns="0" bIns="0" anchor="b" upright="1">
          <a:spAutoFit/>
        </a:bodyPr>
        <a:lstStyle/>
        <a:p>
          <a:pPr algn="l" rtl="0">
            <a:defRPr sz="1000"/>
          </a:pPr>
          <a:r>
            <a:rPr lang="ja-JP" altLang="en-US" sz="1200" b="0" i="0" u="none" strike="noStrike" baseline="0">
              <a:solidFill>
                <a:srgbClr val="000000"/>
              </a:solidFill>
              <a:latin typeface="ＭＳ Ｐゴシック"/>
              <a:ea typeface="ＭＳ Ｐゴシック"/>
            </a:rPr>
            <a:t>半田コテ</a:t>
          </a:r>
        </a:p>
      </xdr:txBody>
    </xdr:sp>
    <xdr:clientData/>
  </xdr:oneCellAnchor>
  <xdr:twoCellAnchor>
    <xdr:from>
      <xdr:col>74</xdr:col>
      <xdr:colOff>133351</xdr:colOff>
      <xdr:row>48</xdr:row>
      <xdr:rowOff>28775</xdr:rowOff>
    </xdr:from>
    <xdr:to>
      <xdr:col>79</xdr:col>
      <xdr:colOff>5988</xdr:colOff>
      <xdr:row>53</xdr:row>
      <xdr:rowOff>145680</xdr:rowOff>
    </xdr:to>
    <xdr:grpSp>
      <xdr:nvGrpSpPr>
        <xdr:cNvPr id="203" name="グループ化 202">
          <a:extLst>
            <a:ext uri="{FF2B5EF4-FFF2-40B4-BE49-F238E27FC236}">
              <a16:creationId xmlns:a16="http://schemas.microsoft.com/office/drawing/2014/main" xmlns="" id="{304BD488-81B4-4D1C-92E6-B421ADDA0211}"/>
            </a:ext>
          </a:extLst>
        </xdr:cNvPr>
        <xdr:cNvGrpSpPr/>
      </xdr:nvGrpSpPr>
      <xdr:grpSpPr>
        <a:xfrm rot="5400000">
          <a:off x="13391574" y="8941123"/>
          <a:ext cx="1114762" cy="779780"/>
          <a:chOff x="11620500" y="8926015"/>
          <a:chExt cx="1081421" cy="839560"/>
        </a:xfrm>
      </xdr:grpSpPr>
      <xdr:sp macro="" textlink="">
        <xdr:nvSpPr>
          <xdr:cNvPr id="204" name="Rectangle 574">
            <a:extLst>
              <a:ext uri="{FF2B5EF4-FFF2-40B4-BE49-F238E27FC236}">
                <a16:creationId xmlns:a16="http://schemas.microsoft.com/office/drawing/2014/main" xmlns="" id="{92F98A4E-2EBC-2D9D-5D86-9AA7E9E00440}"/>
              </a:ext>
            </a:extLst>
          </xdr:cNvPr>
          <xdr:cNvSpPr>
            <a:spLocks noChangeArrowheads="1"/>
          </xdr:cNvSpPr>
        </xdr:nvSpPr>
        <xdr:spPr bwMode="auto">
          <a:xfrm>
            <a:off x="11620500" y="9045575"/>
            <a:ext cx="912700" cy="720000"/>
          </a:xfrm>
          <a:prstGeom prst="rect">
            <a:avLst/>
          </a:prstGeom>
          <a:solidFill>
            <a:srgbClr val="FFFFFF"/>
          </a:solidFill>
          <a:ln w="9525">
            <a:solidFill>
              <a:srgbClr val="000000"/>
            </a:solidFill>
            <a:miter lim="800000"/>
            <a:headEnd/>
            <a:tailEnd/>
          </a:ln>
        </xdr:spPr>
      </xdr:sp>
      <xdr:sp macro="" textlink="">
        <xdr:nvSpPr>
          <xdr:cNvPr id="205" name="Text Box 568">
            <a:extLst>
              <a:ext uri="{FF2B5EF4-FFF2-40B4-BE49-F238E27FC236}">
                <a16:creationId xmlns:a16="http://schemas.microsoft.com/office/drawing/2014/main" xmlns="" id="{6D421B74-4222-9F77-47C3-3337E58E607C}"/>
              </a:ext>
            </a:extLst>
          </xdr:cNvPr>
          <xdr:cNvSpPr txBox="1">
            <a:spLocks noChangeArrowheads="1"/>
          </xdr:cNvSpPr>
        </xdr:nvSpPr>
        <xdr:spPr bwMode="auto">
          <a:xfrm>
            <a:off x="11771646" y="8926015"/>
            <a:ext cx="930275" cy="777514"/>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1100" b="0" i="0" u="none" strike="noStrike" baseline="0">
                <a:solidFill>
                  <a:srgbClr val="000000"/>
                </a:solidFill>
                <a:latin typeface="ＭＳ Ｐゴシック"/>
                <a:ea typeface="ＭＳ Ｐゴシック"/>
              </a:rPr>
              <a:t>太物</a:t>
            </a:r>
            <a:r>
              <a:rPr lang="en-US" altLang="ja-JP" sz="1100" b="0" i="0" u="none" strike="noStrike" baseline="0">
                <a:solidFill>
                  <a:srgbClr val="000000"/>
                </a:solidFill>
                <a:latin typeface="ＭＳ Ｐゴシック"/>
                <a:ea typeface="ＭＳ Ｐゴシック"/>
              </a:rPr>
              <a:t/>
            </a:r>
            <a:br>
              <a:rPr lang="en-US" altLang="ja-JP" sz="1100" b="0" i="0" u="none" strike="noStrike" baseline="0">
                <a:solidFill>
                  <a:srgbClr val="000000"/>
                </a:solidFill>
                <a:latin typeface="ＭＳ Ｐゴシック"/>
                <a:ea typeface="ＭＳ Ｐゴシック"/>
              </a:rPr>
            </a:br>
            <a:r>
              <a:rPr lang="ja-JP" altLang="en-US" sz="1100" b="0" i="0" u="none" strike="noStrike" baseline="0">
                <a:solidFill>
                  <a:srgbClr val="000000"/>
                </a:solidFill>
                <a:latin typeface="ＭＳ Ｐゴシック"/>
                <a:ea typeface="ＭＳ Ｐゴシック"/>
              </a:rPr>
              <a:t>ジョイント</a:t>
            </a:r>
          </a:p>
          <a:p>
            <a:pPr algn="ctr" rtl="0">
              <a:defRPr sz="1000"/>
            </a:pPr>
            <a:r>
              <a:rPr lang="ja-JP" altLang="en-US" sz="1200" b="0" i="0" u="none" strike="noStrike" baseline="0">
                <a:solidFill>
                  <a:srgbClr val="000000"/>
                </a:solidFill>
                <a:latin typeface="ＭＳ Ｐゴシック"/>
                <a:ea typeface="ＭＳ Ｐゴシック"/>
              </a:rPr>
              <a:t>３号機</a:t>
            </a:r>
          </a:p>
        </xdr:txBody>
      </xdr:sp>
    </xdr:grpSp>
    <xdr:clientData/>
  </xdr:twoCellAnchor>
  <xdr:twoCellAnchor>
    <xdr:from>
      <xdr:col>70</xdr:col>
      <xdr:colOff>98425</xdr:colOff>
      <xdr:row>48</xdr:row>
      <xdr:rowOff>29153</xdr:rowOff>
    </xdr:from>
    <xdr:to>
      <xdr:col>74</xdr:col>
      <xdr:colOff>66675</xdr:colOff>
      <xdr:row>52</xdr:row>
      <xdr:rowOff>168275</xdr:rowOff>
    </xdr:to>
    <xdr:sp macro="" textlink="">
      <xdr:nvSpPr>
        <xdr:cNvPr id="206" name="Rectangle 913">
          <a:extLst>
            <a:ext uri="{FF2B5EF4-FFF2-40B4-BE49-F238E27FC236}">
              <a16:creationId xmlns:a16="http://schemas.microsoft.com/office/drawing/2014/main" xmlns="" id="{AFCAEC99-B323-4A15-A232-F03E41A70115}"/>
            </a:ext>
          </a:extLst>
        </xdr:cNvPr>
        <xdr:cNvSpPr>
          <a:spLocks noChangeArrowheads="1"/>
        </xdr:cNvSpPr>
      </xdr:nvSpPr>
      <xdr:spPr bwMode="auto">
        <a:xfrm>
          <a:off x="13029334" y="8618971"/>
          <a:ext cx="707159" cy="924213"/>
        </a:xfrm>
        <a:prstGeom prst="rect">
          <a:avLst/>
        </a:prstGeom>
        <a:noFill/>
        <a:ln w="3175">
          <a:solidFill>
            <a:srgbClr val="000000"/>
          </a:solidFill>
          <a:miter lim="800000"/>
          <a:headEnd/>
          <a:tailEnd/>
        </a:ln>
      </xdr:spPr>
    </xdr:sp>
    <xdr:clientData/>
  </xdr:twoCellAnchor>
  <xdr:twoCellAnchor>
    <xdr:from>
      <xdr:col>55</xdr:col>
      <xdr:colOff>180977</xdr:colOff>
      <xdr:row>69</xdr:row>
      <xdr:rowOff>130176</xdr:rowOff>
    </xdr:from>
    <xdr:to>
      <xdr:col>59</xdr:col>
      <xdr:colOff>161927</xdr:colOff>
      <xdr:row>74</xdr:row>
      <xdr:rowOff>71903</xdr:rowOff>
    </xdr:to>
    <xdr:grpSp>
      <xdr:nvGrpSpPr>
        <xdr:cNvPr id="207" name="グループ化 206">
          <a:extLst>
            <a:ext uri="{FF2B5EF4-FFF2-40B4-BE49-F238E27FC236}">
              <a16:creationId xmlns:a16="http://schemas.microsoft.com/office/drawing/2014/main" xmlns="" id="{A243A5C2-2A37-4EF2-9E61-1D2984DBF804}"/>
            </a:ext>
          </a:extLst>
        </xdr:cNvPr>
        <xdr:cNvGrpSpPr/>
      </xdr:nvGrpSpPr>
      <xdr:grpSpPr>
        <a:xfrm>
          <a:off x="10159548" y="13066033"/>
          <a:ext cx="706665" cy="939584"/>
          <a:chOff x="7981950" y="13935075"/>
          <a:chExt cx="795074" cy="900000"/>
        </a:xfrm>
        <a:solidFill>
          <a:sysClr val="window" lastClr="FFFFFF"/>
        </a:solidFill>
      </xdr:grpSpPr>
      <xdr:sp macro="" textlink="">
        <xdr:nvSpPr>
          <xdr:cNvPr id="208" name="Rectangle 529">
            <a:extLst>
              <a:ext uri="{FF2B5EF4-FFF2-40B4-BE49-F238E27FC236}">
                <a16:creationId xmlns:a16="http://schemas.microsoft.com/office/drawing/2014/main" xmlns="" id="{E0C159DB-D989-B776-E73B-DE412B9AD7AE}"/>
              </a:ext>
            </a:extLst>
          </xdr:cNvPr>
          <xdr:cNvSpPr>
            <a:spLocks noChangeArrowheads="1"/>
          </xdr:cNvSpPr>
        </xdr:nvSpPr>
        <xdr:spPr bwMode="auto">
          <a:xfrm>
            <a:off x="7981950" y="13935075"/>
            <a:ext cx="720000" cy="900000"/>
          </a:xfrm>
          <a:prstGeom prst="rect">
            <a:avLst/>
          </a:prstGeom>
          <a:grpFill/>
          <a:ln w="9525">
            <a:solidFill>
              <a:srgbClr val="000000"/>
            </a:solidFill>
            <a:miter lim="800000"/>
            <a:headEnd/>
            <a:tailEnd/>
          </a:ln>
        </xdr:spPr>
      </xdr:sp>
      <xdr:sp macro="" textlink="">
        <xdr:nvSpPr>
          <xdr:cNvPr id="209" name="Text Box 536">
            <a:extLst>
              <a:ext uri="{FF2B5EF4-FFF2-40B4-BE49-F238E27FC236}">
                <a16:creationId xmlns:a16="http://schemas.microsoft.com/office/drawing/2014/main" xmlns="" id="{709D3222-2608-7934-DAB5-457DAC1B5567}"/>
              </a:ext>
            </a:extLst>
          </xdr:cNvPr>
          <xdr:cNvSpPr txBox="1">
            <a:spLocks noChangeArrowheads="1"/>
          </xdr:cNvSpPr>
        </xdr:nvSpPr>
        <xdr:spPr bwMode="auto">
          <a:xfrm>
            <a:off x="8080089" y="14116050"/>
            <a:ext cx="696935" cy="654050"/>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ysClr val="windowText" lastClr="000000"/>
                </a:solidFill>
                <a:latin typeface="ＭＳ Ｐゴシック"/>
                <a:ea typeface="ＭＳ Ｐゴシック"/>
              </a:rPr>
              <a:t>圧　着</a:t>
            </a:r>
          </a:p>
          <a:p>
            <a:pPr algn="l" rtl="0">
              <a:defRPr sz="1000"/>
            </a:pPr>
            <a:r>
              <a:rPr lang="ja-JP" altLang="en-US" sz="1200" b="0" i="0" u="none" strike="noStrike" baseline="0">
                <a:solidFill>
                  <a:sysClr val="windowText" lastClr="000000"/>
                </a:solidFill>
                <a:latin typeface="ＭＳ Ｐゴシック"/>
                <a:ea typeface="ＭＳ Ｐゴシック"/>
              </a:rPr>
              <a:t>　４号機</a:t>
            </a:r>
          </a:p>
        </xdr:txBody>
      </xdr:sp>
    </xdr:grpSp>
    <xdr:clientData/>
  </xdr:twoCellAnchor>
  <xdr:twoCellAnchor>
    <xdr:from>
      <xdr:col>49</xdr:col>
      <xdr:colOff>171450</xdr:colOff>
      <xdr:row>59</xdr:row>
      <xdr:rowOff>3753</xdr:rowOff>
    </xdr:from>
    <xdr:to>
      <xdr:col>53</xdr:col>
      <xdr:colOff>78650</xdr:colOff>
      <xdr:row>63</xdr:row>
      <xdr:rowOff>147525</xdr:rowOff>
    </xdr:to>
    <xdr:grpSp>
      <xdr:nvGrpSpPr>
        <xdr:cNvPr id="210" name="グループ化 209">
          <a:extLst>
            <a:ext uri="{FF2B5EF4-FFF2-40B4-BE49-F238E27FC236}">
              <a16:creationId xmlns:a16="http://schemas.microsoft.com/office/drawing/2014/main" xmlns="" id="{C4993BCA-520E-4155-85F6-0052FE007AF3}"/>
            </a:ext>
          </a:extLst>
        </xdr:cNvPr>
        <xdr:cNvGrpSpPr/>
      </xdr:nvGrpSpPr>
      <xdr:grpSpPr>
        <a:xfrm>
          <a:off x="9061450" y="10943896"/>
          <a:ext cx="632914" cy="942058"/>
          <a:chOff x="6070600" y="13995400"/>
          <a:chExt cx="720000" cy="900000"/>
        </a:xfrm>
        <a:solidFill>
          <a:sysClr val="window" lastClr="FFFFFF"/>
        </a:solidFill>
      </xdr:grpSpPr>
      <xdr:sp macro="" textlink="">
        <xdr:nvSpPr>
          <xdr:cNvPr id="211" name="Rectangle 529">
            <a:extLst>
              <a:ext uri="{FF2B5EF4-FFF2-40B4-BE49-F238E27FC236}">
                <a16:creationId xmlns:a16="http://schemas.microsoft.com/office/drawing/2014/main" xmlns="" id="{F93131DE-C5F7-8E00-2C97-EAB048B04C7E}"/>
              </a:ext>
            </a:extLst>
          </xdr:cNvPr>
          <xdr:cNvSpPr>
            <a:spLocks noChangeArrowheads="1"/>
          </xdr:cNvSpPr>
        </xdr:nvSpPr>
        <xdr:spPr bwMode="auto">
          <a:xfrm>
            <a:off x="6070600" y="13995400"/>
            <a:ext cx="720000" cy="900000"/>
          </a:xfrm>
          <a:prstGeom prst="rect">
            <a:avLst/>
          </a:prstGeom>
          <a:grpFill/>
          <a:ln w="9525">
            <a:solidFill>
              <a:srgbClr val="000000"/>
            </a:solidFill>
            <a:miter lim="800000"/>
            <a:headEnd/>
            <a:tailEnd/>
          </a:ln>
        </xdr:spPr>
      </xdr:sp>
      <xdr:sp macro="" textlink="">
        <xdr:nvSpPr>
          <xdr:cNvPr id="212" name="Text Box 536">
            <a:extLst>
              <a:ext uri="{FF2B5EF4-FFF2-40B4-BE49-F238E27FC236}">
                <a16:creationId xmlns:a16="http://schemas.microsoft.com/office/drawing/2014/main" xmlns="" id="{7EA6AC7C-4709-299A-301D-0993D150815D}"/>
              </a:ext>
            </a:extLst>
          </xdr:cNvPr>
          <xdr:cNvSpPr txBox="1">
            <a:spLocks noChangeArrowheads="1"/>
          </xdr:cNvSpPr>
        </xdr:nvSpPr>
        <xdr:spPr bwMode="auto">
          <a:xfrm>
            <a:off x="6159727" y="14246225"/>
            <a:ext cx="610280" cy="533400"/>
          </a:xfrm>
          <a:prstGeom prst="rect">
            <a:avLst/>
          </a:prstGeom>
          <a:grp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ysClr val="windowText" lastClr="000000"/>
                </a:solidFill>
                <a:latin typeface="ＭＳ Ｐゴシック"/>
                <a:ea typeface="ＭＳ Ｐゴシック"/>
              </a:rPr>
              <a:t>圧　着</a:t>
            </a:r>
          </a:p>
          <a:p>
            <a:pPr algn="l" rtl="0">
              <a:defRPr sz="1000"/>
            </a:pPr>
            <a:r>
              <a:rPr lang="ja-JP" altLang="en-US" sz="1200" b="0" i="0" u="none" strike="noStrike" baseline="0">
                <a:solidFill>
                  <a:sysClr val="windowText" lastClr="000000"/>
                </a:solidFill>
                <a:latin typeface="ＭＳ Ｐゴシック"/>
                <a:ea typeface="ＭＳ Ｐゴシック"/>
              </a:rPr>
              <a:t>　５号機</a:t>
            </a:r>
          </a:p>
        </xdr:txBody>
      </xdr:sp>
    </xdr:grpSp>
    <xdr:clientData/>
  </xdr:twoCellAnchor>
  <xdr:twoCellAnchor>
    <xdr:from>
      <xdr:col>59</xdr:col>
      <xdr:colOff>19050</xdr:colOff>
      <xdr:row>50</xdr:row>
      <xdr:rowOff>6925</xdr:rowOff>
    </xdr:from>
    <xdr:to>
      <xdr:col>63</xdr:col>
      <xdr:colOff>180975</xdr:colOff>
      <xdr:row>53</xdr:row>
      <xdr:rowOff>184149</xdr:rowOff>
    </xdr:to>
    <xdr:grpSp>
      <xdr:nvGrpSpPr>
        <xdr:cNvPr id="213" name="グループ化 212">
          <a:extLst>
            <a:ext uri="{FF2B5EF4-FFF2-40B4-BE49-F238E27FC236}">
              <a16:creationId xmlns:a16="http://schemas.microsoft.com/office/drawing/2014/main" xmlns="" id="{0C0392AB-D7E8-4BFF-B8CA-B5C3BC067B7A}"/>
            </a:ext>
          </a:extLst>
        </xdr:cNvPr>
        <xdr:cNvGrpSpPr/>
      </xdr:nvGrpSpPr>
      <xdr:grpSpPr>
        <a:xfrm rot="16200000">
          <a:off x="10779187" y="9095074"/>
          <a:ext cx="775938" cy="887639"/>
          <a:chOff x="10617200" y="13843000"/>
          <a:chExt cx="720000" cy="900000"/>
        </a:xfrm>
        <a:solidFill>
          <a:srgbClr val="FF0000"/>
        </a:solidFill>
      </xdr:grpSpPr>
      <xdr:sp macro="" textlink="">
        <xdr:nvSpPr>
          <xdr:cNvPr id="214" name="Rectangle 529">
            <a:extLst>
              <a:ext uri="{FF2B5EF4-FFF2-40B4-BE49-F238E27FC236}">
                <a16:creationId xmlns:a16="http://schemas.microsoft.com/office/drawing/2014/main" xmlns="" id="{68AB0EBD-DAEF-5034-766B-AB2B6155C494}"/>
              </a:ext>
            </a:extLst>
          </xdr:cNvPr>
          <xdr:cNvSpPr>
            <a:spLocks noChangeArrowheads="1"/>
          </xdr:cNvSpPr>
        </xdr:nvSpPr>
        <xdr:spPr bwMode="auto">
          <a:xfrm>
            <a:off x="10617200" y="13843000"/>
            <a:ext cx="720000" cy="900000"/>
          </a:xfrm>
          <a:prstGeom prst="rect">
            <a:avLst/>
          </a:prstGeom>
          <a:solidFill>
            <a:sysClr val="window" lastClr="FFFFFF"/>
          </a:solidFill>
          <a:ln w="9525">
            <a:solidFill>
              <a:srgbClr val="000000"/>
            </a:solidFill>
            <a:miter lim="800000"/>
            <a:headEnd/>
            <a:tailEnd/>
          </a:ln>
        </xdr:spPr>
      </xdr:sp>
      <xdr:sp macro="" textlink="">
        <xdr:nvSpPr>
          <xdr:cNvPr id="215" name="Text Box 536">
            <a:extLst>
              <a:ext uri="{FF2B5EF4-FFF2-40B4-BE49-F238E27FC236}">
                <a16:creationId xmlns:a16="http://schemas.microsoft.com/office/drawing/2014/main" xmlns="" id="{B9C08440-AE0F-5262-AF76-EFAB6793BB70}"/>
              </a:ext>
            </a:extLst>
          </xdr:cNvPr>
          <xdr:cNvSpPr txBox="1">
            <a:spLocks noChangeArrowheads="1"/>
          </xdr:cNvSpPr>
        </xdr:nvSpPr>
        <xdr:spPr bwMode="auto">
          <a:xfrm>
            <a:off x="10690069" y="14049375"/>
            <a:ext cx="625343" cy="571500"/>
          </a:xfrm>
          <a:prstGeom prst="rect">
            <a:avLst/>
          </a:prstGeom>
          <a:solidFill>
            <a:sysClr val="window" lastClr="FFFFFF"/>
          </a:solid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ysClr val="windowText" lastClr="000000"/>
                </a:solidFill>
                <a:latin typeface="ＭＳ Ｐゴシック"/>
                <a:ea typeface="ＭＳ Ｐゴシック"/>
              </a:rPr>
              <a:t>圧　着</a:t>
            </a:r>
          </a:p>
          <a:p>
            <a:pPr algn="l" rtl="0">
              <a:defRPr sz="1000"/>
            </a:pPr>
            <a:r>
              <a:rPr lang="ja-JP" altLang="en-US" sz="1200" b="0" i="0" u="none" strike="noStrike" baseline="0">
                <a:solidFill>
                  <a:sysClr val="windowText" lastClr="000000"/>
                </a:solidFill>
                <a:latin typeface="ＭＳ Ｐゴシック"/>
                <a:ea typeface="ＭＳ Ｐゴシック"/>
              </a:rPr>
              <a:t>　３号機</a:t>
            </a:r>
          </a:p>
        </xdr:txBody>
      </xdr:sp>
    </xdr:grpSp>
    <xdr:clientData/>
  </xdr:twoCellAnchor>
  <xdr:twoCellAnchor>
    <xdr:from>
      <xdr:col>64</xdr:col>
      <xdr:colOff>92077</xdr:colOff>
      <xdr:row>69</xdr:row>
      <xdr:rowOff>130176</xdr:rowOff>
    </xdr:from>
    <xdr:to>
      <xdr:col>68</xdr:col>
      <xdr:colOff>19052</xdr:colOff>
      <xdr:row>74</xdr:row>
      <xdr:rowOff>71903</xdr:rowOff>
    </xdr:to>
    <xdr:grpSp>
      <xdr:nvGrpSpPr>
        <xdr:cNvPr id="216" name="グループ化 215">
          <a:extLst>
            <a:ext uri="{FF2B5EF4-FFF2-40B4-BE49-F238E27FC236}">
              <a16:creationId xmlns:a16="http://schemas.microsoft.com/office/drawing/2014/main" xmlns="" id="{DF293741-C3A4-4F10-9428-988BB2EA701A}"/>
            </a:ext>
          </a:extLst>
        </xdr:cNvPr>
        <xdr:cNvGrpSpPr/>
      </xdr:nvGrpSpPr>
      <xdr:grpSpPr>
        <a:xfrm>
          <a:off x="11703506" y="13066033"/>
          <a:ext cx="652689" cy="939584"/>
          <a:chOff x="13220700" y="13931900"/>
          <a:chExt cx="740130" cy="900000"/>
        </a:xfrm>
        <a:solidFill>
          <a:sysClr val="window" lastClr="FFFFFF"/>
        </a:solidFill>
      </xdr:grpSpPr>
      <xdr:sp macro="" textlink="">
        <xdr:nvSpPr>
          <xdr:cNvPr id="217" name="Rectangle 529">
            <a:extLst>
              <a:ext uri="{FF2B5EF4-FFF2-40B4-BE49-F238E27FC236}">
                <a16:creationId xmlns:a16="http://schemas.microsoft.com/office/drawing/2014/main" xmlns="" id="{347828EE-BB83-8307-3E8E-D9BC61CF3D58}"/>
              </a:ext>
            </a:extLst>
          </xdr:cNvPr>
          <xdr:cNvSpPr>
            <a:spLocks noChangeArrowheads="1"/>
          </xdr:cNvSpPr>
        </xdr:nvSpPr>
        <xdr:spPr bwMode="auto">
          <a:xfrm>
            <a:off x="13220700" y="13931900"/>
            <a:ext cx="720000" cy="900000"/>
          </a:xfrm>
          <a:prstGeom prst="rect">
            <a:avLst/>
          </a:prstGeom>
          <a:grpFill/>
          <a:ln w="9525">
            <a:solidFill>
              <a:srgbClr val="000000"/>
            </a:solidFill>
            <a:miter lim="800000"/>
            <a:headEnd/>
            <a:tailEnd/>
          </a:ln>
        </xdr:spPr>
      </xdr:sp>
      <xdr:sp macro="" textlink="">
        <xdr:nvSpPr>
          <xdr:cNvPr id="218" name="Text Box 536">
            <a:extLst>
              <a:ext uri="{FF2B5EF4-FFF2-40B4-BE49-F238E27FC236}">
                <a16:creationId xmlns:a16="http://schemas.microsoft.com/office/drawing/2014/main" xmlns="" id="{4553A32E-1E7D-C657-A899-C98724C498AB}"/>
              </a:ext>
            </a:extLst>
          </xdr:cNvPr>
          <xdr:cNvSpPr txBox="1">
            <a:spLocks noChangeArrowheads="1"/>
          </xdr:cNvSpPr>
        </xdr:nvSpPr>
        <xdr:spPr bwMode="auto">
          <a:xfrm>
            <a:off x="13293439" y="14106524"/>
            <a:ext cx="667391" cy="612775"/>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ysClr val="windowText" lastClr="000000"/>
                </a:solidFill>
                <a:latin typeface="ＭＳ Ｐゴシック"/>
                <a:ea typeface="ＭＳ Ｐゴシック"/>
              </a:rPr>
              <a:t>圧　着</a:t>
            </a:r>
          </a:p>
          <a:p>
            <a:pPr algn="l" rtl="0">
              <a:defRPr sz="1000"/>
            </a:pPr>
            <a:r>
              <a:rPr lang="ja-JP" altLang="en-US" sz="1200" b="0" i="0" u="none" strike="noStrike" baseline="0">
                <a:solidFill>
                  <a:sysClr val="windowText" lastClr="000000"/>
                </a:solidFill>
                <a:latin typeface="ＭＳ Ｐゴシック"/>
                <a:ea typeface="ＭＳ Ｐゴシック"/>
              </a:rPr>
              <a:t>　６号機</a:t>
            </a:r>
          </a:p>
        </xdr:txBody>
      </xdr:sp>
    </xdr:grpSp>
    <xdr:clientData/>
  </xdr:twoCellAnchor>
  <xdr:twoCellAnchor>
    <xdr:from>
      <xdr:col>73</xdr:col>
      <xdr:colOff>38100</xdr:colOff>
      <xdr:row>69</xdr:row>
      <xdr:rowOff>114878</xdr:rowOff>
    </xdr:from>
    <xdr:to>
      <xdr:col>76</xdr:col>
      <xdr:colOff>148500</xdr:colOff>
      <xdr:row>74</xdr:row>
      <xdr:rowOff>62378</xdr:rowOff>
    </xdr:to>
    <xdr:grpSp>
      <xdr:nvGrpSpPr>
        <xdr:cNvPr id="219" name="グループ化 218">
          <a:extLst>
            <a:ext uri="{FF2B5EF4-FFF2-40B4-BE49-F238E27FC236}">
              <a16:creationId xmlns:a16="http://schemas.microsoft.com/office/drawing/2014/main" xmlns="" id="{D58CDF68-AD98-46F3-90DE-530ECD317064}"/>
            </a:ext>
          </a:extLst>
        </xdr:cNvPr>
        <xdr:cNvGrpSpPr/>
      </xdr:nvGrpSpPr>
      <xdr:grpSpPr>
        <a:xfrm>
          <a:off x="13282386" y="13050735"/>
          <a:ext cx="654685" cy="945357"/>
          <a:chOff x="7981950" y="13935075"/>
          <a:chExt cx="720000" cy="900000"/>
        </a:xfrm>
        <a:solidFill>
          <a:sysClr val="window" lastClr="FFFFFF"/>
        </a:solidFill>
      </xdr:grpSpPr>
      <xdr:sp macro="" textlink="">
        <xdr:nvSpPr>
          <xdr:cNvPr id="220" name="Rectangle 529">
            <a:extLst>
              <a:ext uri="{FF2B5EF4-FFF2-40B4-BE49-F238E27FC236}">
                <a16:creationId xmlns:a16="http://schemas.microsoft.com/office/drawing/2014/main" xmlns="" id="{CBB62A8F-A4CC-41DC-5A75-B1BEB73D9924}"/>
              </a:ext>
            </a:extLst>
          </xdr:cNvPr>
          <xdr:cNvSpPr>
            <a:spLocks noChangeArrowheads="1"/>
          </xdr:cNvSpPr>
        </xdr:nvSpPr>
        <xdr:spPr bwMode="auto">
          <a:xfrm>
            <a:off x="7981950" y="13935075"/>
            <a:ext cx="720000" cy="900000"/>
          </a:xfrm>
          <a:prstGeom prst="rect">
            <a:avLst/>
          </a:prstGeom>
          <a:grpFill/>
          <a:ln w="9525">
            <a:solidFill>
              <a:srgbClr val="000000"/>
            </a:solidFill>
            <a:miter lim="800000"/>
            <a:headEnd/>
            <a:tailEnd/>
          </a:ln>
        </xdr:spPr>
      </xdr:sp>
      <xdr:sp macro="" textlink="">
        <xdr:nvSpPr>
          <xdr:cNvPr id="221" name="Text Box 536">
            <a:extLst>
              <a:ext uri="{FF2B5EF4-FFF2-40B4-BE49-F238E27FC236}">
                <a16:creationId xmlns:a16="http://schemas.microsoft.com/office/drawing/2014/main" xmlns="" id="{678DCCDF-DD0C-2055-0EF0-3DC8E1529B68}"/>
              </a:ext>
            </a:extLst>
          </xdr:cNvPr>
          <xdr:cNvSpPr txBox="1">
            <a:spLocks noChangeArrowheads="1"/>
          </xdr:cNvSpPr>
        </xdr:nvSpPr>
        <xdr:spPr bwMode="auto">
          <a:xfrm>
            <a:off x="8060913" y="14135100"/>
            <a:ext cx="635336" cy="577850"/>
          </a:xfrm>
          <a:prstGeom prst="rect">
            <a:avLst/>
          </a:prstGeom>
          <a:grp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ysClr val="windowText" lastClr="000000"/>
                </a:solidFill>
                <a:latin typeface="ＭＳ Ｐゴシック"/>
                <a:ea typeface="ＭＳ Ｐゴシック"/>
              </a:rPr>
              <a:t>圧　着</a:t>
            </a:r>
          </a:p>
          <a:p>
            <a:pPr algn="l" rtl="0">
              <a:defRPr sz="1000"/>
            </a:pPr>
            <a:r>
              <a:rPr lang="ja-JP" altLang="en-US" sz="1200" b="0" i="0" u="none" strike="noStrike" baseline="0">
                <a:solidFill>
                  <a:sysClr val="windowText" lastClr="000000"/>
                </a:solidFill>
                <a:latin typeface="ＭＳ Ｐゴシック"/>
                <a:ea typeface="ＭＳ Ｐゴシック"/>
              </a:rPr>
              <a:t>　２号機</a:t>
            </a:r>
          </a:p>
        </xdr:txBody>
      </xdr:sp>
    </xdr:grpSp>
    <xdr:clientData/>
  </xdr:twoCellAnchor>
  <xdr:twoCellAnchor>
    <xdr:from>
      <xdr:col>53</xdr:col>
      <xdr:colOff>184150</xdr:colOff>
      <xdr:row>59</xdr:row>
      <xdr:rowOff>6928</xdr:rowOff>
    </xdr:from>
    <xdr:to>
      <xdr:col>57</xdr:col>
      <xdr:colOff>161925</xdr:colOff>
      <xdr:row>63</xdr:row>
      <xdr:rowOff>146050</xdr:rowOff>
    </xdr:to>
    <xdr:sp macro="" textlink="">
      <xdr:nvSpPr>
        <xdr:cNvPr id="222" name="Rectangle 913">
          <a:extLst>
            <a:ext uri="{FF2B5EF4-FFF2-40B4-BE49-F238E27FC236}">
              <a16:creationId xmlns:a16="http://schemas.microsoft.com/office/drawing/2014/main" xmlns="" id="{3E38EBD4-CFAF-4CBF-A7EC-52C3C9D61F10}"/>
            </a:ext>
          </a:extLst>
        </xdr:cNvPr>
        <xdr:cNvSpPr>
          <a:spLocks noChangeArrowheads="1"/>
        </xdr:cNvSpPr>
      </xdr:nvSpPr>
      <xdr:spPr bwMode="auto">
        <a:xfrm>
          <a:off x="9974695" y="10755746"/>
          <a:ext cx="716685" cy="924213"/>
        </a:xfrm>
        <a:prstGeom prst="rect">
          <a:avLst/>
        </a:prstGeom>
        <a:noFill/>
        <a:ln w="3175">
          <a:solidFill>
            <a:srgbClr val="000000"/>
          </a:solidFill>
          <a:miter lim="800000"/>
          <a:headEnd/>
          <a:tailEnd/>
        </a:ln>
      </xdr:spPr>
    </xdr:sp>
    <xdr:clientData/>
  </xdr:twoCellAnchor>
  <xdr:twoCellAnchor>
    <xdr:from>
      <xdr:col>60</xdr:col>
      <xdr:colOff>57150</xdr:colOff>
      <xdr:row>83</xdr:row>
      <xdr:rowOff>184150</xdr:rowOff>
    </xdr:from>
    <xdr:to>
      <xdr:col>64</xdr:col>
      <xdr:colOff>28575</xdr:colOff>
      <xdr:row>88</xdr:row>
      <xdr:rowOff>127001</xdr:rowOff>
    </xdr:to>
    <xdr:sp macro="" textlink="">
      <xdr:nvSpPr>
        <xdr:cNvPr id="223" name="Rectangle 913">
          <a:extLst>
            <a:ext uri="{FF2B5EF4-FFF2-40B4-BE49-F238E27FC236}">
              <a16:creationId xmlns:a16="http://schemas.microsoft.com/office/drawing/2014/main" xmlns="" id="{73D47244-1D9C-467B-99C0-6B8B98094E1E}"/>
            </a:ext>
          </a:extLst>
        </xdr:cNvPr>
        <xdr:cNvSpPr>
          <a:spLocks noChangeArrowheads="1"/>
        </xdr:cNvSpPr>
      </xdr:nvSpPr>
      <xdr:spPr bwMode="auto">
        <a:xfrm>
          <a:off x="11140786" y="15643514"/>
          <a:ext cx="710334" cy="924214"/>
        </a:xfrm>
        <a:prstGeom prst="rect">
          <a:avLst/>
        </a:prstGeom>
        <a:noFill/>
        <a:ln w="3175">
          <a:solidFill>
            <a:srgbClr val="000000"/>
          </a:solidFill>
          <a:miter lim="800000"/>
          <a:headEnd/>
          <a:tailEnd/>
        </a:ln>
      </xdr:spPr>
    </xdr:sp>
    <xdr:clientData/>
  </xdr:twoCellAnchor>
  <xdr:twoCellAnchor>
    <xdr:from>
      <xdr:col>69</xdr:col>
      <xdr:colOff>15875</xdr:colOff>
      <xdr:row>83</xdr:row>
      <xdr:rowOff>174625</xdr:rowOff>
    </xdr:from>
    <xdr:to>
      <xdr:col>72</xdr:col>
      <xdr:colOff>180975</xdr:colOff>
      <xdr:row>88</xdr:row>
      <xdr:rowOff>111703</xdr:rowOff>
    </xdr:to>
    <xdr:sp macro="" textlink="">
      <xdr:nvSpPr>
        <xdr:cNvPr id="224" name="Rectangle 913">
          <a:extLst>
            <a:ext uri="{FF2B5EF4-FFF2-40B4-BE49-F238E27FC236}">
              <a16:creationId xmlns:a16="http://schemas.microsoft.com/office/drawing/2014/main" xmlns="" id="{D8743530-016C-4BF2-BFF8-1584877229DE}"/>
            </a:ext>
          </a:extLst>
        </xdr:cNvPr>
        <xdr:cNvSpPr>
          <a:spLocks noChangeArrowheads="1"/>
        </xdr:cNvSpPr>
      </xdr:nvSpPr>
      <xdr:spPr bwMode="auto">
        <a:xfrm>
          <a:off x="12762057" y="15633989"/>
          <a:ext cx="719282" cy="918441"/>
        </a:xfrm>
        <a:prstGeom prst="rect">
          <a:avLst/>
        </a:prstGeom>
        <a:noFill/>
        <a:ln w="3175">
          <a:solidFill>
            <a:srgbClr val="000000"/>
          </a:solidFill>
          <a:miter lim="800000"/>
          <a:headEnd/>
          <a:tailEnd/>
        </a:ln>
      </xdr:spPr>
    </xdr:sp>
    <xdr:clientData/>
  </xdr:twoCellAnchor>
  <xdr:twoCellAnchor>
    <xdr:from>
      <xdr:col>35</xdr:col>
      <xdr:colOff>88900</xdr:colOff>
      <xdr:row>70</xdr:row>
      <xdr:rowOff>180976</xdr:rowOff>
    </xdr:from>
    <xdr:to>
      <xdr:col>39</xdr:col>
      <xdr:colOff>60325</xdr:colOff>
      <xdr:row>75</xdr:row>
      <xdr:rowOff>118052</xdr:rowOff>
    </xdr:to>
    <xdr:sp macro="" textlink="">
      <xdr:nvSpPr>
        <xdr:cNvPr id="225" name="Rectangle 913">
          <a:extLst>
            <a:ext uri="{FF2B5EF4-FFF2-40B4-BE49-F238E27FC236}">
              <a16:creationId xmlns:a16="http://schemas.microsoft.com/office/drawing/2014/main" xmlns="" id="{7D8039BF-F90E-4533-B569-EDBBFBEEE6F2}"/>
            </a:ext>
          </a:extLst>
        </xdr:cNvPr>
        <xdr:cNvSpPr>
          <a:spLocks noChangeArrowheads="1"/>
        </xdr:cNvSpPr>
      </xdr:nvSpPr>
      <xdr:spPr bwMode="auto">
        <a:xfrm>
          <a:off x="6554355" y="13088794"/>
          <a:ext cx="710334" cy="918440"/>
        </a:xfrm>
        <a:prstGeom prst="rect">
          <a:avLst/>
        </a:prstGeom>
        <a:noFill/>
        <a:ln w="3175">
          <a:solidFill>
            <a:srgbClr val="000000"/>
          </a:solidFill>
          <a:miter lim="800000"/>
          <a:headEnd/>
          <a:tailEnd/>
        </a:ln>
      </xdr:spPr>
      <xdr:txBody>
        <a:bodyPr/>
        <a:lstStyle/>
        <a:p>
          <a:endParaRPr lang="en-US" altLang="ja-JP"/>
        </a:p>
        <a:p>
          <a:endParaRPr lang="en-US" altLang="ja-JP"/>
        </a:p>
        <a:p>
          <a:endParaRPr lang="en-US" altLang="ja-JP"/>
        </a:p>
        <a:p>
          <a:endParaRPr lang="en-US" altLang="ja-JP"/>
        </a:p>
        <a:p>
          <a:endParaRPr lang="en-US" altLang="ja-JP"/>
        </a:p>
        <a:p>
          <a:endParaRPr lang="en-US" altLang="ja-JP"/>
        </a:p>
        <a:p>
          <a:endParaRPr lang="ja-JP" altLang="en-US"/>
        </a:p>
      </xdr:txBody>
    </xdr:sp>
    <xdr:clientData/>
  </xdr:twoCellAnchor>
  <xdr:twoCellAnchor>
    <xdr:from>
      <xdr:col>60</xdr:col>
      <xdr:colOff>41275</xdr:colOff>
      <xdr:row>69</xdr:row>
      <xdr:rowOff>127001</xdr:rowOff>
    </xdr:from>
    <xdr:to>
      <xdr:col>64</xdr:col>
      <xdr:colOff>12700</xdr:colOff>
      <xdr:row>74</xdr:row>
      <xdr:rowOff>64078</xdr:rowOff>
    </xdr:to>
    <xdr:sp macro="" textlink="">
      <xdr:nvSpPr>
        <xdr:cNvPr id="226" name="Rectangle 913">
          <a:extLst>
            <a:ext uri="{FF2B5EF4-FFF2-40B4-BE49-F238E27FC236}">
              <a16:creationId xmlns:a16="http://schemas.microsoft.com/office/drawing/2014/main" xmlns="" id="{C7B49A54-2E24-415A-AE9C-F9A075EF1B9F}"/>
            </a:ext>
          </a:extLst>
        </xdr:cNvPr>
        <xdr:cNvSpPr>
          <a:spLocks noChangeArrowheads="1"/>
        </xdr:cNvSpPr>
      </xdr:nvSpPr>
      <xdr:spPr bwMode="auto">
        <a:xfrm>
          <a:off x="11124911" y="12838546"/>
          <a:ext cx="710334" cy="918441"/>
        </a:xfrm>
        <a:prstGeom prst="rect">
          <a:avLst/>
        </a:prstGeom>
        <a:noFill/>
        <a:ln w="3175">
          <a:solidFill>
            <a:srgbClr val="000000"/>
          </a:solidFill>
          <a:miter lim="800000"/>
          <a:headEnd/>
          <a:tailEnd/>
        </a:ln>
      </xdr:spPr>
    </xdr:sp>
    <xdr:clientData/>
  </xdr:twoCellAnchor>
  <xdr:twoCellAnchor>
    <xdr:from>
      <xdr:col>68</xdr:col>
      <xdr:colOff>174625</xdr:colOff>
      <xdr:row>69</xdr:row>
      <xdr:rowOff>111703</xdr:rowOff>
    </xdr:from>
    <xdr:to>
      <xdr:col>72</xdr:col>
      <xdr:colOff>146050</xdr:colOff>
      <xdr:row>74</xdr:row>
      <xdr:rowOff>54553</xdr:rowOff>
    </xdr:to>
    <xdr:sp macro="" textlink="">
      <xdr:nvSpPr>
        <xdr:cNvPr id="227" name="Rectangle 913">
          <a:extLst>
            <a:ext uri="{FF2B5EF4-FFF2-40B4-BE49-F238E27FC236}">
              <a16:creationId xmlns:a16="http://schemas.microsoft.com/office/drawing/2014/main" xmlns="" id="{8C664866-A245-4764-AAA8-31FA58798487}"/>
            </a:ext>
          </a:extLst>
        </xdr:cNvPr>
        <xdr:cNvSpPr>
          <a:spLocks noChangeArrowheads="1"/>
        </xdr:cNvSpPr>
      </xdr:nvSpPr>
      <xdr:spPr bwMode="auto">
        <a:xfrm>
          <a:off x="12736080" y="12823248"/>
          <a:ext cx="710334" cy="924214"/>
        </a:xfrm>
        <a:prstGeom prst="rect">
          <a:avLst/>
        </a:prstGeom>
        <a:noFill/>
        <a:ln w="3175">
          <a:solidFill>
            <a:srgbClr val="000000"/>
          </a:solidFill>
          <a:miter lim="800000"/>
          <a:headEnd/>
          <a:tailEnd/>
        </a:ln>
      </xdr:spPr>
    </xdr:sp>
    <xdr:clientData/>
  </xdr:twoCellAnchor>
  <xdr:twoCellAnchor>
    <xdr:from>
      <xdr:col>35</xdr:col>
      <xdr:colOff>136527</xdr:colOff>
      <xdr:row>59</xdr:row>
      <xdr:rowOff>22817</xdr:rowOff>
    </xdr:from>
    <xdr:to>
      <xdr:col>38</xdr:col>
      <xdr:colOff>66927</xdr:colOff>
      <xdr:row>67</xdr:row>
      <xdr:rowOff>106387</xdr:rowOff>
    </xdr:to>
    <xdr:grpSp>
      <xdr:nvGrpSpPr>
        <xdr:cNvPr id="228" name="グループ化 227">
          <a:extLst>
            <a:ext uri="{FF2B5EF4-FFF2-40B4-BE49-F238E27FC236}">
              <a16:creationId xmlns:a16="http://schemas.microsoft.com/office/drawing/2014/main" xmlns="" id="{D4A93165-9419-4B59-BAB6-373A80D2BBCB}"/>
            </a:ext>
          </a:extLst>
        </xdr:cNvPr>
        <xdr:cNvGrpSpPr/>
      </xdr:nvGrpSpPr>
      <xdr:grpSpPr>
        <a:xfrm rot="5400000">
          <a:off x="5883799" y="11565688"/>
          <a:ext cx="1680141" cy="474686"/>
          <a:chOff x="5301665" y="10185987"/>
          <a:chExt cx="1607570" cy="530475"/>
        </a:xfrm>
      </xdr:grpSpPr>
      <xdr:sp macro="" textlink="">
        <xdr:nvSpPr>
          <xdr:cNvPr id="229" name="Rectangle 566">
            <a:extLst>
              <a:ext uri="{FF2B5EF4-FFF2-40B4-BE49-F238E27FC236}">
                <a16:creationId xmlns:a16="http://schemas.microsoft.com/office/drawing/2014/main" xmlns="" id="{1398D6AF-5F70-9B2A-5DA8-3A086DB96AA3}"/>
              </a:ext>
            </a:extLst>
          </xdr:cNvPr>
          <xdr:cNvSpPr>
            <a:spLocks noChangeArrowheads="1"/>
          </xdr:cNvSpPr>
        </xdr:nvSpPr>
        <xdr:spPr bwMode="auto">
          <a:xfrm rot="5400000">
            <a:off x="5432427" y="10055225"/>
            <a:ext cx="530475" cy="792000"/>
          </a:xfrm>
          <a:prstGeom prst="rect">
            <a:avLst/>
          </a:prstGeom>
          <a:solidFill>
            <a:srgbClr val="FFFFFF"/>
          </a:solidFill>
          <a:ln w="9525">
            <a:solidFill>
              <a:srgbClr val="000000"/>
            </a:solidFill>
            <a:miter lim="800000"/>
            <a:headEnd/>
            <a:tailEnd/>
          </a:ln>
        </xdr:spPr>
      </xdr:sp>
      <xdr:sp macro="" textlink="">
        <xdr:nvSpPr>
          <xdr:cNvPr id="230" name="Text Box 569">
            <a:extLst>
              <a:ext uri="{FF2B5EF4-FFF2-40B4-BE49-F238E27FC236}">
                <a16:creationId xmlns:a16="http://schemas.microsoft.com/office/drawing/2014/main" xmlns="" id="{C4990C36-8CCB-3530-E7DC-405BB7CB93CE}"/>
              </a:ext>
            </a:extLst>
          </xdr:cNvPr>
          <xdr:cNvSpPr txBox="1">
            <a:spLocks noChangeArrowheads="1"/>
          </xdr:cNvSpPr>
        </xdr:nvSpPr>
        <xdr:spPr bwMode="auto">
          <a:xfrm rot="16200000">
            <a:off x="6520732" y="10214143"/>
            <a:ext cx="300082" cy="476925"/>
          </a:xfrm>
          <a:prstGeom prst="rect">
            <a:avLst/>
          </a:prstGeom>
          <a:noFill/>
          <a:ln w="9525">
            <a:noFill/>
            <a:miter lim="800000"/>
            <a:headEnd/>
            <a:tailEnd/>
          </a:ln>
        </xdr:spPr>
        <xdr:txBody>
          <a:bodyPr vertOverflow="clip" vert="eaVert" wrap="none" lIns="0" tIns="0" rIns="0" bIns="0" anchor="ctr" anchorCtr="1" upright="1">
            <a:spAutoFit/>
          </a:bodyPr>
          <a:lstStyle/>
          <a:p>
            <a:pPr algn="l" rtl="0">
              <a:defRPr sz="1000"/>
            </a:pPr>
            <a:r>
              <a:rPr lang="ja-JP" altLang="en-US" sz="900" b="0" i="0" u="none" strike="noStrike" baseline="0">
                <a:solidFill>
                  <a:srgbClr val="000000"/>
                </a:solidFill>
                <a:latin typeface="ＭＳ Ｐゴシック"/>
                <a:ea typeface="ＭＳ Ｐゴシック"/>
              </a:rPr>
              <a:t>機械巻き</a:t>
            </a:r>
            <a:endParaRPr lang="en-US" altLang="ja-JP" sz="900" b="0" i="0" u="none" strike="noStrike" baseline="0">
              <a:solidFill>
                <a:srgbClr val="000000"/>
              </a:solidFill>
              <a:latin typeface="ＭＳ Ｐゴシック"/>
              <a:ea typeface="ＭＳ Ｐゴシック"/>
            </a:endParaRPr>
          </a:p>
          <a:p>
            <a:pPr algn="l" rtl="0">
              <a:defRPr sz="1000"/>
            </a:pPr>
            <a:r>
              <a:rPr lang="ja-JP" altLang="en-US" sz="900" b="0" i="0" u="none" strike="noStrike" baseline="0">
                <a:solidFill>
                  <a:srgbClr val="000000"/>
                </a:solidFill>
                <a:latin typeface="ＭＳ Ｐゴシック"/>
                <a:ea typeface="ＭＳ Ｐゴシック"/>
              </a:rPr>
              <a:t>　　１号機</a:t>
            </a:r>
          </a:p>
        </xdr:txBody>
      </xdr:sp>
    </xdr:grpSp>
    <xdr:clientData/>
  </xdr:twoCellAnchor>
  <xdr:twoCellAnchor>
    <xdr:from>
      <xdr:col>29</xdr:col>
      <xdr:colOff>152399</xdr:colOff>
      <xdr:row>72</xdr:row>
      <xdr:rowOff>16452</xdr:rowOff>
    </xdr:from>
    <xdr:to>
      <xdr:col>31</xdr:col>
      <xdr:colOff>33999</xdr:colOff>
      <xdr:row>82</xdr:row>
      <xdr:rowOff>25978</xdr:rowOff>
    </xdr:to>
    <xdr:sp macro="" textlink="">
      <xdr:nvSpPr>
        <xdr:cNvPr id="231" name="Rectangle 528">
          <a:extLst>
            <a:ext uri="{FF2B5EF4-FFF2-40B4-BE49-F238E27FC236}">
              <a16:creationId xmlns:a16="http://schemas.microsoft.com/office/drawing/2014/main" xmlns="" id="{D696281D-9F55-4D72-BC6C-02C15CFDED3F}"/>
            </a:ext>
          </a:extLst>
        </xdr:cNvPr>
        <xdr:cNvSpPr>
          <a:spLocks noChangeArrowheads="1"/>
        </xdr:cNvSpPr>
      </xdr:nvSpPr>
      <xdr:spPr bwMode="auto">
        <a:xfrm>
          <a:off x="5509490" y="13316816"/>
          <a:ext cx="251054" cy="1972253"/>
        </a:xfrm>
        <a:prstGeom prst="rect">
          <a:avLst/>
        </a:prstGeom>
        <a:solidFill>
          <a:srgbClr val="FFFFFF"/>
        </a:solidFill>
        <a:ln w="9525">
          <a:solidFill>
            <a:srgbClr val="000000"/>
          </a:solidFill>
          <a:miter lim="800000"/>
          <a:headEnd/>
          <a:tailEnd/>
        </a:ln>
      </xdr:spPr>
    </xdr:sp>
    <xdr:clientData/>
  </xdr:twoCellAnchor>
  <xdr:twoCellAnchor>
    <xdr:from>
      <xdr:col>29</xdr:col>
      <xdr:colOff>171450</xdr:colOff>
      <xdr:row>49</xdr:row>
      <xdr:rowOff>51378</xdr:rowOff>
    </xdr:from>
    <xdr:to>
      <xdr:col>31</xdr:col>
      <xdr:colOff>9525</xdr:colOff>
      <xdr:row>61</xdr:row>
      <xdr:rowOff>64077</xdr:rowOff>
    </xdr:to>
    <xdr:sp macro="" textlink="">
      <xdr:nvSpPr>
        <xdr:cNvPr id="232" name="正方形/長方形 231">
          <a:extLst>
            <a:ext uri="{FF2B5EF4-FFF2-40B4-BE49-F238E27FC236}">
              <a16:creationId xmlns:a16="http://schemas.microsoft.com/office/drawing/2014/main" xmlns="" id="{C982C53D-FDB8-4AE9-AB09-A28204D88918}"/>
            </a:ext>
          </a:extLst>
        </xdr:cNvPr>
        <xdr:cNvSpPr/>
      </xdr:nvSpPr>
      <xdr:spPr bwMode="auto">
        <a:xfrm>
          <a:off x="5528541" y="8837469"/>
          <a:ext cx="207529" cy="2367972"/>
        </a:xfrm>
        <a:prstGeom prst="rect">
          <a:avLst/>
        </a:prstGeom>
        <a:solidFill>
          <a:schemeClr val="bg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47</xdr:col>
      <xdr:colOff>158750</xdr:colOff>
      <xdr:row>64</xdr:row>
      <xdr:rowOff>86302</xdr:rowOff>
    </xdr:from>
    <xdr:to>
      <xdr:col>49</xdr:col>
      <xdr:colOff>115525</xdr:colOff>
      <xdr:row>65</xdr:row>
      <xdr:rowOff>111802</xdr:rowOff>
    </xdr:to>
    <xdr:sp macro="" textlink="">
      <xdr:nvSpPr>
        <xdr:cNvPr id="233" name="正方形/長方形 232">
          <a:extLst>
            <a:ext uri="{FF2B5EF4-FFF2-40B4-BE49-F238E27FC236}">
              <a16:creationId xmlns:a16="http://schemas.microsoft.com/office/drawing/2014/main" xmlns="" id="{569A2C5E-95E0-4726-BE15-D2E8E6D7BCDF}"/>
            </a:ext>
          </a:extLst>
        </xdr:cNvPr>
        <xdr:cNvSpPr/>
      </xdr:nvSpPr>
      <xdr:spPr bwMode="auto">
        <a:xfrm>
          <a:off x="8840932" y="11816484"/>
          <a:ext cx="326229" cy="221773"/>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49</xdr:col>
      <xdr:colOff>160967</xdr:colOff>
      <xdr:row>64</xdr:row>
      <xdr:rowOff>52337</xdr:rowOff>
    </xdr:from>
    <xdr:to>
      <xdr:col>70</xdr:col>
      <xdr:colOff>123827</xdr:colOff>
      <xdr:row>65</xdr:row>
      <xdr:rowOff>152435</xdr:rowOff>
    </xdr:to>
    <xdr:sp macro="" textlink="">
      <xdr:nvSpPr>
        <xdr:cNvPr id="234" name="Rectangle 581">
          <a:extLst>
            <a:ext uri="{FF2B5EF4-FFF2-40B4-BE49-F238E27FC236}">
              <a16:creationId xmlns:a16="http://schemas.microsoft.com/office/drawing/2014/main" xmlns="" id="{6AE8AF2A-5FEB-489F-8634-DCADD9813A21}"/>
            </a:ext>
          </a:extLst>
        </xdr:cNvPr>
        <xdr:cNvSpPr>
          <a:spLocks noChangeArrowheads="1"/>
        </xdr:cNvSpPr>
      </xdr:nvSpPr>
      <xdr:spPr bwMode="auto">
        <a:xfrm rot="16200000">
          <a:off x="10985484" y="10009638"/>
          <a:ext cx="296371" cy="3842133"/>
        </a:xfrm>
        <a:prstGeom prst="rect">
          <a:avLst/>
        </a:prstGeom>
        <a:solidFill>
          <a:srgbClr val="FFFFFF"/>
        </a:solidFill>
        <a:ln w="9525">
          <a:solidFill>
            <a:srgbClr val="000000"/>
          </a:solidFill>
          <a:miter lim="800000"/>
          <a:headEnd/>
          <a:tailEnd/>
        </a:ln>
      </xdr:spPr>
      <xdr:txBody>
        <a:bodyPr/>
        <a:lstStyle/>
        <a:p>
          <a:endParaRPr lang="en-US" altLang="ja-JP"/>
        </a:p>
      </xdr:txBody>
    </xdr:sp>
    <xdr:clientData/>
  </xdr:twoCellAnchor>
  <xdr:twoCellAnchor>
    <xdr:from>
      <xdr:col>73</xdr:col>
      <xdr:colOff>111524</xdr:colOff>
      <xdr:row>83</xdr:row>
      <xdr:rowOff>158574</xdr:rowOff>
    </xdr:from>
    <xdr:to>
      <xdr:col>77</xdr:col>
      <xdr:colOff>21899</xdr:colOff>
      <xdr:row>88</xdr:row>
      <xdr:rowOff>100302</xdr:rowOff>
    </xdr:to>
    <xdr:grpSp>
      <xdr:nvGrpSpPr>
        <xdr:cNvPr id="235" name="グループ化 234">
          <a:extLst>
            <a:ext uri="{FF2B5EF4-FFF2-40B4-BE49-F238E27FC236}">
              <a16:creationId xmlns:a16="http://schemas.microsoft.com/office/drawing/2014/main" xmlns="" id="{E01884BA-8C7D-4791-9B2C-9421620FDF8C}"/>
            </a:ext>
          </a:extLst>
        </xdr:cNvPr>
        <xdr:cNvGrpSpPr/>
      </xdr:nvGrpSpPr>
      <xdr:grpSpPr>
        <a:xfrm>
          <a:off x="13355810" y="15888431"/>
          <a:ext cx="636089" cy="939585"/>
          <a:chOff x="7981950" y="13935075"/>
          <a:chExt cx="720000" cy="900000"/>
        </a:xfrm>
      </xdr:grpSpPr>
      <xdr:sp macro="" textlink="">
        <xdr:nvSpPr>
          <xdr:cNvPr id="236" name="Rectangle 529">
            <a:extLst>
              <a:ext uri="{FF2B5EF4-FFF2-40B4-BE49-F238E27FC236}">
                <a16:creationId xmlns:a16="http://schemas.microsoft.com/office/drawing/2014/main" xmlns="" id="{102D09E1-1598-3BD6-B186-EB48DC76105D}"/>
              </a:ext>
            </a:extLst>
          </xdr:cNvPr>
          <xdr:cNvSpPr>
            <a:spLocks noChangeArrowheads="1"/>
          </xdr:cNvSpPr>
        </xdr:nvSpPr>
        <xdr:spPr bwMode="auto">
          <a:xfrm>
            <a:off x="7981950" y="13935075"/>
            <a:ext cx="720000" cy="900000"/>
          </a:xfrm>
          <a:prstGeom prst="rect">
            <a:avLst/>
          </a:prstGeom>
          <a:solidFill>
            <a:srgbClr val="FFFFFF"/>
          </a:solidFill>
          <a:ln w="9525">
            <a:solidFill>
              <a:srgbClr val="000000"/>
            </a:solidFill>
            <a:miter lim="800000"/>
            <a:headEnd/>
            <a:tailEnd/>
          </a:ln>
        </xdr:spPr>
      </xdr:sp>
      <xdr:sp macro="" textlink="">
        <xdr:nvSpPr>
          <xdr:cNvPr id="237" name="Text Box 536">
            <a:extLst>
              <a:ext uri="{FF2B5EF4-FFF2-40B4-BE49-F238E27FC236}">
                <a16:creationId xmlns:a16="http://schemas.microsoft.com/office/drawing/2014/main" xmlns="" id="{F91DE7C0-061E-0648-B520-4900DE6DF058}"/>
              </a:ext>
            </a:extLst>
          </xdr:cNvPr>
          <xdr:cNvSpPr txBox="1">
            <a:spLocks noChangeArrowheads="1"/>
          </xdr:cNvSpPr>
        </xdr:nvSpPr>
        <xdr:spPr bwMode="auto">
          <a:xfrm>
            <a:off x="8080218" y="14182725"/>
            <a:ext cx="599538" cy="533400"/>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収　縮</a:t>
            </a:r>
          </a:p>
          <a:p>
            <a:pPr algn="l" rtl="0">
              <a:defRPr sz="1000"/>
            </a:pPr>
            <a:r>
              <a:rPr lang="ja-JP" altLang="en-US" sz="1200" b="0" i="0" u="none" strike="noStrike" baseline="0">
                <a:solidFill>
                  <a:srgbClr val="000000"/>
                </a:solidFill>
                <a:latin typeface="ＭＳ Ｐゴシック"/>
                <a:ea typeface="ＭＳ Ｐゴシック"/>
              </a:rPr>
              <a:t>　</a:t>
            </a:r>
            <a:r>
              <a:rPr lang="en-US" altLang="ja-JP" sz="1200" b="0" i="0" u="none" strike="noStrike" baseline="0">
                <a:solidFill>
                  <a:srgbClr val="000000"/>
                </a:solidFill>
                <a:latin typeface="ＭＳ Ｐゴシック"/>
                <a:ea typeface="ＭＳ Ｐゴシック"/>
              </a:rPr>
              <a:t>1</a:t>
            </a:r>
            <a:r>
              <a:rPr lang="ja-JP" altLang="en-US" sz="1200" b="0" i="0" u="none" strike="noStrike" baseline="0">
                <a:solidFill>
                  <a:srgbClr val="000000"/>
                </a:solidFill>
                <a:latin typeface="ＭＳ Ｐゴシック"/>
                <a:ea typeface="ＭＳ Ｐゴシック"/>
              </a:rPr>
              <a:t>号機</a:t>
            </a:r>
          </a:p>
        </xdr:txBody>
      </xdr:sp>
    </xdr:grpSp>
    <xdr:clientData/>
  </xdr:twoCellAnchor>
  <xdr:twoCellAnchor>
    <xdr:from>
      <xdr:col>64</xdr:col>
      <xdr:colOff>130574</xdr:colOff>
      <xdr:row>83</xdr:row>
      <xdr:rowOff>187149</xdr:rowOff>
    </xdr:from>
    <xdr:to>
      <xdr:col>68</xdr:col>
      <xdr:colOff>40949</xdr:colOff>
      <xdr:row>88</xdr:row>
      <xdr:rowOff>134650</xdr:rowOff>
    </xdr:to>
    <xdr:grpSp>
      <xdr:nvGrpSpPr>
        <xdr:cNvPr id="238" name="グループ化 237">
          <a:extLst>
            <a:ext uri="{FF2B5EF4-FFF2-40B4-BE49-F238E27FC236}">
              <a16:creationId xmlns:a16="http://schemas.microsoft.com/office/drawing/2014/main" xmlns="" id="{DA775B93-0B62-464F-BF24-672A530336DE}"/>
            </a:ext>
          </a:extLst>
        </xdr:cNvPr>
        <xdr:cNvGrpSpPr/>
      </xdr:nvGrpSpPr>
      <xdr:grpSpPr>
        <a:xfrm>
          <a:off x="11742003" y="15917006"/>
          <a:ext cx="636089" cy="945358"/>
          <a:chOff x="7981950" y="13935075"/>
          <a:chExt cx="720000" cy="900000"/>
        </a:xfrm>
      </xdr:grpSpPr>
      <xdr:sp macro="" textlink="">
        <xdr:nvSpPr>
          <xdr:cNvPr id="239" name="Rectangle 529">
            <a:extLst>
              <a:ext uri="{FF2B5EF4-FFF2-40B4-BE49-F238E27FC236}">
                <a16:creationId xmlns:a16="http://schemas.microsoft.com/office/drawing/2014/main" xmlns="" id="{93BFB708-E483-7BDE-77B5-03B9ED3109B4}"/>
              </a:ext>
            </a:extLst>
          </xdr:cNvPr>
          <xdr:cNvSpPr>
            <a:spLocks noChangeArrowheads="1"/>
          </xdr:cNvSpPr>
        </xdr:nvSpPr>
        <xdr:spPr bwMode="auto">
          <a:xfrm>
            <a:off x="7981950" y="13935075"/>
            <a:ext cx="720000" cy="900000"/>
          </a:xfrm>
          <a:prstGeom prst="rect">
            <a:avLst/>
          </a:prstGeom>
          <a:solidFill>
            <a:srgbClr val="FFFFFF"/>
          </a:solidFill>
          <a:ln w="9525">
            <a:solidFill>
              <a:srgbClr val="000000"/>
            </a:solidFill>
            <a:miter lim="800000"/>
            <a:headEnd/>
            <a:tailEnd/>
          </a:ln>
        </xdr:spPr>
      </xdr:sp>
      <xdr:sp macro="" textlink="">
        <xdr:nvSpPr>
          <xdr:cNvPr id="240" name="Text Box 536">
            <a:extLst>
              <a:ext uri="{FF2B5EF4-FFF2-40B4-BE49-F238E27FC236}">
                <a16:creationId xmlns:a16="http://schemas.microsoft.com/office/drawing/2014/main" xmlns="" id="{F7BF8F60-01EF-B311-36AB-35735E7BA359}"/>
              </a:ext>
            </a:extLst>
          </xdr:cNvPr>
          <xdr:cNvSpPr txBox="1">
            <a:spLocks noChangeArrowheads="1"/>
          </xdr:cNvSpPr>
        </xdr:nvSpPr>
        <xdr:spPr bwMode="auto">
          <a:xfrm>
            <a:off x="8109177" y="14173200"/>
            <a:ext cx="540000" cy="533400"/>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皮むき</a:t>
            </a:r>
          </a:p>
          <a:p>
            <a:pPr algn="l" rtl="0">
              <a:defRPr sz="1000"/>
            </a:pPr>
            <a:r>
              <a:rPr lang="ja-JP" altLang="en-US" sz="1200" b="0" i="0" u="none" strike="noStrike" baseline="0">
                <a:solidFill>
                  <a:srgbClr val="000000"/>
                </a:solidFill>
                <a:latin typeface="ＭＳ Ｐゴシック"/>
                <a:ea typeface="ＭＳ Ｐゴシック"/>
              </a:rPr>
              <a:t>　</a:t>
            </a:r>
            <a:r>
              <a:rPr lang="en-US" altLang="ja-JP" sz="1200" b="0" i="0" u="none" strike="noStrike" baseline="0">
                <a:solidFill>
                  <a:srgbClr val="000000"/>
                </a:solidFill>
                <a:latin typeface="ＭＳ Ｐゴシック"/>
                <a:ea typeface="ＭＳ Ｐゴシック"/>
              </a:rPr>
              <a:t>3</a:t>
            </a:r>
            <a:r>
              <a:rPr lang="ja-JP" altLang="en-US" sz="1200" b="0" i="0" u="none" strike="noStrike" baseline="0">
                <a:solidFill>
                  <a:srgbClr val="000000"/>
                </a:solidFill>
                <a:latin typeface="ＭＳ Ｐゴシック"/>
                <a:ea typeface="ＭＳ Ｐゴシック"/>
              </a:rPr>
              <a:t>号機</a:t>
            </a:r>
          </a:p>
        </xdr:txBody>
      </xdr:sp>
    </xdr:grpSp>
    <xdr:clientData/>
  </xdr:twoCellAnchor>
  <xdr:twoCellAnchor>
    <xdr:from>
      <xdr:col>56</xdr:col>
      <xdr:colOff>399</xdr:colOff>
      <xdr:row>84</xdr:row>
      <xdr:rowOff>402</xdr:rowOff>
    </xdr:from>
    <xdr:to>
      <xdr:col>59</xdr:col>
      <xdr:colOff>107624</xdr:colOff>
      <xdr:row>88</xdr:row>
      <xdr:rowOff>144175</xdr:rowOff>
    </xdr:to>
    <xdr:grpSp>
      <xdr:nvGrpSpPr>
        <xdr:cNvPr id="241" name="グループ化 240">
          <a:extLst>
            <a:ext uri="{FF2B5EF4-FFF2-40B4-BE49-F238E27FC236}">
              <a16:creationId xmlns:a16="http://schemas.microsoft.com/office/drawing/2014/main" xmlns="" id="{EA2F274A-7BAF-48EA-84B9-B3FC2702D5B8}"/>
            </a:ext>
          </a:extLst>
        </xdr:cNvPr>
        <xdr:cNvGrpSpPr/>
      </xdr:nvGrpSpPr>
      <xdr:grpSpPr>
        <a:xfrm>
          <a:off x="10160399" y="15929831"/>
          <a:ext cx="651511" cy="942058"/>
          <a:chOff x="7981950" y="13935075"/>
          <a:chExt cx="720000" cy="900000"/>
        </a:xfrm>
      </xdr:grpSpPr>
      <xdr:sp macro="" textlink="">
        <xdr:nvSpPr>
          <xdr:cNvPr id="242" name="Rectangle 529">
            <a:extLst>
              <a:ext uri="{FF2B5EF4-FFF2-40B4-BE49-F238E27FC236}">
                <a16:creationId xmlns:a16="http://schemas.microsoft.com/office/drawing/2014/main" xmlns="" id="{0F80B36D-18F7-5321-4FBD-D4D5E9E1C9C8}"/>
              </a:ext>
            </a:extLst>
          </xdr:cNvPr>
          <xdr:cNvSpPr>
            <a:spLocks noChangeArrowheads="1"/>
          </xdr:cNvSpPr>
        </xdr:nvSpPr>
        <xdr:spPr bwMode="auto">
          <a:xfrm>
            <a:off x="7981950" y="13935075"/>
            <a:ext cx="720000" cy="900000"/>
          </a:xfrm>
          <a:prstGeom prst="rect">
            <a:avLst/>
          </a:prstGeom>
          <a:solidFill>
            <a:srgbClr val="FFFFFF"/>
          </a:solidFill>
          <a:ln w="9525">
            <a:solidFill>
              <a:srgbClr val="000000"/>
            </a:solidFill>
            <a:miter lim="800000"/>
            <a:headEnd/>
            <a:tailEnd/>
          </a:ln>
        </xdr:spPr>
      </xdr:sp>
      <xdr:sp macro="" textlink="">
        <xdr:nvSpPr>
          <xdr:cNvPr id="243" name="Text Box 536">
            <a:extLst>
              <a:ext uri="{FF2B5EF4-FFF2-40B4-BE49-F238E27FC236}">
                <a16:creationId xmlns:a16="http://schemas.microsoft.com/office/drawing/2014/main" xmlns="" id="{2B66A70F-C397-4AF4-4D40-365A67B31713}"/>
              </a:ext>
            </a:extLst>
          </xdr:cNvPr>
          <xdr:cNvSpPr txBox="1">
            <a:spLocks noChangeArrowheads="1"/>
          </xdr:cNvSpPr>
        </xdr:nvSpPr>
        <xdr:spPr bwMode="auto">
          <a:xfrm>
            <a:off x="8109177" y="14173200"/>
            <a:ext cx="540000" cy="533400"/>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皮むき</a:t>
            </a:r>
          </a:p>
          <a:p>
            <a:pPr algn="l" rtl="0">
              <a:defRPr sz="1000"/>
            </a:pPr>
            <a:r>
              <a:rPr lang="ja-JP" altLang="en-US" sz="1200" b="0" i="0" u="none" strike="noStrike" baseline="0">
                <a:solidFill>
                  <a:srgbClr val="000000"/>
                </a:solidFill>
                <a:latin typeface="ＭＳ Ｐゴシック"/>
                <a:ea typeface="ＭＳ Ｐゴシック"/>
              </a:rPr>
              <a:t>　</a:t>
            </a:r>
            <a:r>
              <a:rPr lang="en-US" altLang="ja-JP" sz="1200" b="0" i="0" u="none" strike="noStrike" baseline="0">
                <a:solidFill>
                  <a:srgbClr val="000000"/>
                </a:solidFill>
                <a:latin typeface="ＭＳ Ｐゴシック"/>
                <a:ea typeface="ＭＳ Ｐゴシック"/>
              </a:rPr>
              <a:t>2</a:t>
            </a:r>
            <a:r>
              <a:rPr lang="ja-JP" altLang="en-US" sz="1200" b="0" i="0" u="none" strike="noStrike" baseline="0">
                <a:solidFill>
                  <a:srgbClr val="000000"/>
                </a:solidFill>
                <a:latin typeface="ＭＳ Ｐゴシック"/>
                <a:ea typeface="ＭＳ Ｐゴシック"/>
              </a:rPr>
              <a:t>号機</a:t>
            </a:r>
          </a:p>
        </xdr:txBody>
      </xdr:sp>
    </xdr:grpSp>
    <xdr:clientData/>
  </xdr:twoCellAnchor>
  <xdr:twoCellAnchor>
    <xdr:from>
      <xdr:col>47</xdr:col>
      <xdr:colOff>92474</xdr:colOff>
      <xdr:row>84</xdr:row>
      <xdr:rowOff>9927</xdr:rowOff>
    </xdr:from>
    <xdr:to>
      <xdr:col>51</xdr:col>
      <xdr:colOff>2849</xdr:colOff>
      <xdr:row>88</xdr:row>
      <xdr:rowOff>153700</xdr:rowOff>
    </xdr:to>
    <xdr:grpSp>
      <xdr:nvGrpSpPr>
        <xdr:cNvPr id="244" name="グループ化 243">
          <a:extLst>
            <a:ext uri="{FF2B5EF4-FFF2-40B4-BE49-F238E27FC236}">
              <a16:creationId xmlns:a16="http://schemas.microsoft.com/office/drawing/2014/main" xmlns="" id="{11C1746F-75BD-4FE3-9CD6-BF9633E8FFDC}"/>
            </a:ext>
          </a:extLst>
        </xdr:cNvPr>
        <xdr:cNvGrpSpPr/>
      </xdr:nvGrpSpPr>
      <xdr:grpSpPr>
        <a:xfrm>
          <a:off x="8619617" y="15939356"/>
          <a:ext cx="636089" cy="942058"/>
          <a:chOff x="7981950" y="13935075"/>
          <a:chExt cx="720000" cy="900000"/>
        </a:xfrm>
      </xdr:grpSpPr>
      <xdr:sp macro="" textlink="">
        <xdr:nvSpPr>
          <xdr:cNvPr id="245" name="Rectangle 529">
            <a:extLst>
              <a:ext uri="{FF2B5EF4-FFF2-40B4-BE49-F238E27FC236}">
                <a16:creationId xmlns:a16="http://schemas.microsoft.com/office/drawing/2014/main" xmlns="" id="{6CD81E58-73E1-17B0-4EA8-ADD5C9614BEF}"/>
              </a:ext>
            </a:extLst>
          </xdr:cNvPr>
          <xdr:cNvSpPr>
            <a:spLocks noChangeArrowheads="1"/>
          </xdr:cNvSpPr>
        </xdr:nvSpPr>
        <xdr:spPr bwMode="auto">
          <a:xfrm>
            <a:off x="7981950" y="13935075"/>
            <a:ext cx="720000" cy="900000"/>
          </a:xfrm>
          <a:prstGeom prst="rect">
            <a:avLst/>
          </a:prstGeom>
          <a:solidFill>
            <a:srgbClr val="FFFFFF"/>
          </a:solidFill>
          <a:ln w="9525">
            <a:solidFill>
              <a:srgbClr val="000000"/>
            </a:solidFill>
            <a:miter lim="800000"/>
            <a:headEnd/>
            <a:tailEnd/>
          </a:ln>
        </xdr:spPr>
      </xdr:sp>
      <xdr:sp macro="" textlink="">
        <xdr:nvSpPr>
          <xdr:cNvPr id="246" name="Text Box 536">
            <a:extLst>
              <a:ext uri="{FF2B5EF4-FFF2-40B4-BE49-F238E27FC236}">
                <a16:creationId xmlns:a16="http://schemas.microsoft.com/office/drawing/2014/main" xmlns="" id="{6135C352-7C18-DBDD-85F5-FFE847EACC63}"/>
              </a:ext>
            </a:extLst>
          </xdr:cNvPr>
          <xdr:cNvSpPr txBox="1">
            <a:spLocks noChangeArrowheads="1"/>
          </xdr:cNvSpPr>
        </xdr:nvSpPr>
        <xdr:spPr bwMode="auto">
          <a:xfrm>
            <a:off x="8109177" y="14173200"/>
            <a:ext cx="540000" cy="533400"/>
          </a:xfrm>
          <a:prstGeom prst="rect">
            <a:avLst/>
          </a:prstGeom>
          <a:noFill/>
          <a:ln w="9525">
            <a:noFill/>
            <a:miter lim="800000"/>
            <a:headEnd/>
            <a:tailEnd/>
          </a:ln>
        </xdr:spPr>
        <xdr:txBody>
          <a:bodyPr vertOverflow="clip" wrap="square" lIns="0" tIns="0" rIns="0" bIns="0" anchor="ctr" upright="1"/>
          <a:lstStyle/>
          <a:p>
            <a:pPr algn="l" rtl="0">
              <a:defRPr sz="1000"/>
            </a:pPr>
            <a:r>
              <a:rPr lang="ja-JP" altLang="en-US" sz="1200" b="0" i="0" u="none" strike="noStrike" baseline="0">
                <a:solidFill>
                  <a:srgbClr val="000000"/>
                </a:solidFill>
                <a:latin typeface="ＭＳ Ｐゴシック"/>
                <a:ea typeface="ＭＳ Ｐゴシック"/>
              </a:rPr>
              <a:t>皮むき</a:t>
            </a:r>
          </a:p>
          <a:p>
            <a:pPr algn="l" rtl="0">
              <a:defRPr sz="1000"/>
            </a:pPr>
            <a:r>
              <a:rPr lang="ja-JP" altLang="en-US" sz="1200" b="0" i="0" u="none" strike="noStrike" baseline="0">
                <a:solidFill>
                  <a:srgbClr val="000000"/>
                </a:solidFill>
                <a:latin typeface="ＭＳ Ｐゴシック"/>
                <a:ea typeface="ＭＳ Ｐゴシック"/>
              </a:rPr>
              <a:t>　</a:t>
            </a:r>
            <a:r>
              <a:rPr lang="en-US" altLang="ja-JP" sz="1200" b="0" i="0" u="none" strike="noStrike" baseline="0">
                <a:solidFill>
                  <a:srgbClr val="000000"/>
                </a:solidFill>
                <a:latin typeface="ＭＳ Ｐゴシック"/>
                <a:ea typeface="ＭＳ Ｐゴシック"/>
              </a:rPr>
              <a:t>1</a:t>
            </a:r>
            <a:r>
              <a:rPr lang="ja-JP" altLang="en-US" sz="1200" b="0" i="0" u="none" strike="noStrike" baseline="0">
                <a:solidFill>
                  <a:srgbClr val="000000"/>
                </a:solidFill>
                <a:latin typeface="ＭＳ Ｐゴシック"/>
                <a:ea typeface="ＭＳ Ｐゴシック"/>
              </a:rPr>
              <a:t>号機</a:t>
            </a:r>
          </a:p>
        </xdr:txBody>
      </xdr:sp>
    </xdr:grpSp>
    <xdr:clientData/>
  </xdr:twoCellAnchor>
  <xdr:oneCellAnchor>
    <xdr:from>
      <xdr:col>57</xdr:col>
      <xdr:colOff>171451</xdr:colOff>
      <xdr:row>64</xdr:row>
      <xdr:rowOff>54553</xdr:rowOff>
    </xdr:from>
    <xdr:ext cx="1295400" cy="295274"/>
    <xdr:sp macro="" textlink="">
      <xdr:nvSpPr>
        <xdr:cNvPr id="247" name="Text Box 584">
          <a:extLst>
            <a:ext uri="{FF2B5EF4-FFF2-40B4-BE49-F238E27FC236}">
              <a16:creationId xmlns:a16="http://schemas.microsoft.com/office/drawing/2014/main" xmlns="" id="{D6BE7065-3E92-46E0-B0F4-83404039AA02}"/>
            </a:ext>
          </a:extLst>
        </xdr:cNvPr>
        <xdr:cNvSpPr txBox="1">
          <a:spLocks noChangeArrowheads="1"/>
        </xdr:cNvSpPr>
      </xdr:nvSpPr>
      <xdr:spPr bwMode="auto">
        <a:xfrm>
          <a:off x="10700906" y="11784735"/>
          <a:ext cx="1295400" cy="295274"/>
        </a:xfrm>
        <a:prstGeom prst="rect">
          <a:avLst/>
        </a:prstGeom>
        <a:noFill/>
        <a:ln w="9525">
          <a:noFill/>
          <a:miter lim="800000"/>
          <a:headEnd/>
          <a:tailEnd/>
        </a:ln>
      </xdr:spPr>
      <xdr:txBody>
        <a:bodyPr vertOverflow="clip" vert="wordArtVertRtl" wrap="none" lIns="0" tIns="0" rIns="0" bIns="0" anchor="ctr" upright="1">
          <a:noAutofit/>
        </a:bodyPr>
        <a:lstStyle/>
        <a:p>
          <a:pPr algn="ctr" rtl="0">
            <a:defRPr sz="1000"/>
          </a:pPr>
          <a:endParaRPr lang="en-US" altLang="ja-JP" sz="1200" b="0" i="0" u="none" strike="noStrike" baseline="0">
            <a:solidFill>
              <a:srgbClr val="000000"/>
            </a:solidFill>
            <a:latin typeface="ＭＳ Ｐゴシック"/>
            <a:ea typeface="ＭＳ Ｐゴシック"/>
          </a:endParaRPr>
        </a:p>
        <a:p>
          <a:pPr algn="ctr" rtl="0">
            <a:defRPr sz="1000"/>
          </a:pPr>
          <a:endParaRPr lang="en-US" altLang="ja-JP" sz="1200" b="0" i="0" u="none" strike="noStrike" baseline="0">
            <a:solidFill>
              <a:srgbClr val="000000"/>
            </a:solidFill>
            <a:latin typeface="ＭＳ Ｐゴシック"/>
            <a:ea typeface="ＭＳ Ｐゴシック"/>
          </a:endParaRPr>
        </a:p>
        <a:p>
          <a:pPr algn="ctr" rtl="0">
            <a:defRPr sz="1000"/>
          </a:pPr>
          <a:r>
            <a:rPr lang="ja-JP" altLang="en-US" sz="1200" b="0" i="0" u="none" strike="noStrike" baseline="0">
              <a:solidFill>
                <a:srgbClr val="000000"/>
              </a:solidFill>
              <a:latin typeface="ＭＳ Ｐゴシック"/>
              <a:ea typeface="ＭＳ Ｐゴシック"/>
            </a:rPr>
            <a:t>場</a:t>
          </a:r>
          <a:endParaRPr lang="en-US" altLang="ja-JP" sz="1200" b="0" i="0" u="none" strike="noStrike" baseline="0">
            <a:solidFill>
              <a:srgbClr val="000000"/>
            </a:solidFill>
            <a:latin typeface="ＭＳ Ｐゴシック"/>
            <a:ea typeface="ＭＳ Ｐゴシック"/>
          </a:endParaRPr>
        </a:p>
        <a:p>
          <a:pPr algn="ctr" rtl="0">
            <a:defRPr sz="1000"/>
          </a:pPr>
          <a:r>
            <a:rPr lang="ja-JP" altLang="en-US" sz="1200" b="0" i="0" u="none" strike="noStrike" baseline="0">
              <a:solidFill>
                <a:srgbClr val="000000"/>
              </a:solidFill>
              <a:latin typeface="ＭＳ Ｐゴシック"/>
              <a:ea typeface="ＭＳ Ｐゴシック"/>
            </a:rPr>
            <a:t>き</a:t>
          </a:r>
          <a:endParaRPr lang="en-US" altLang="ja-JP" sz="1200" b="0" i="0" u="none" strike="noStrike" baseline="0">
            <a:solidFill>
              <a:srgbClr val="000000"/>
            </a:solidFill>
            <a:latin typeface="ＭＳ Ｐゴシック"/>
            <a:ea typeface="ＭＳ Ｐゴシック"/>
          </a:endParaRPr>
        </a:p>
        <a:p>
          <a:pPr algn="ctr" rtl="0">
            <a:defRPr sz="1000"/>
          </a:pPr>
          <a:r>
            <a:rPr lang="ja-JP" altLang="en-US" sz="1200" b="0" i="0" u="none" strike="noStrike" baseline="0">
              <a:solidFill>
                <a:srgbClr val="000000"/>
              </a:solidFill>
              <a:latin typeface="ＭＳ Ｐゴシック"/>
              <a:ea typeface="ＭＳ Ｐゴシック"/>
            </a:rPr>
            <a:t>置</a:t>
          </a:r>
          <a:endParaRPr lang="en-US" altLang="ja-JP" sz="1200" b="0" i="0" u="none" strike="noStrike" baseline="0">
            <a:solidFill>
              <a:srgbClr val="000000"/>
            </a:solidFill>
            <a:latin typeface="ＭＳ Ｐゴシック"/>
            <a:ea typeface="ＭＳ Ｐゴシック"/>
          </a:endParaRPr>
        </a:p>
        <a:p>
          <a:pPr algn="ctr" rtl="0">
            <a:defRPr sz="1000"/>
          </a:pPr>
          <a:r>
            <a:rPr lang="ja-JP" altLang="en-US" sz="1200" b="0" i="0" u="none" strike="noStrike" baseline="0">
              <a:solidFill>
                <a:srgbClr val="000000"/>
              </a:solidFill>
              <a:latin typeface="ＭＳ Ｐゴシック"/>
              <a:ea typeface="ＭＳ Ｐゴシック"/>
            </a:rPr>
            <a:t>子</a:t>
          </a:r>
          <a:endParaRPr lang="en-US" altLang="ja-JP" sz="1200" b="0" i="0" u="none" strike="noStrike" baseline="0">
            <a:solidFill>
              <a:srgbClr val="000000"/>
            </a:solidFill>
            <a:latin typeface="ＭＳ Ｐゴシック"/>
            <a:ea typeface="ＭＳ Ｐゴシック"/>
          </a:endParaRPr>
        </a:p>
        <a:p>
          <a:pPr algn="ctr" rtl="0">
            <a:defRPr sz="1000"/>
          </a:pPr>
          <a:r>
            <a:rPr lang="ja-JP" altLang="en-US" sz="1200" b="0" i="0" u="none" strike="noStrike" baseline="0">
              <a:solidFill>
                <a:srgbClr val="000000"/>
              </a:solidFill>
              <a:latin typeface="ＭＳ Ｐゴシック"/>
              <a:ea typeface="ＭＳ Ｐゴシック"/>
            </a:rPr>
            <a:t>端</a:t>
          </a:r>
          <a:endParaRPr lang="en-US" altLang="ja-JP" sz="1200" b="0" i="0" u="none" strike="noStrike" baseline="0">
            <a:solidFill>
              <a:srgbClr val="000000"/>
            </a:solidFill>
            <a:latin typeface="ＭＳ Ｐゴシック"/>
            <a:ea typeface="ＭＳ Ｐゴシック"/>
          </a:endParaRPr>
        </a:p>
        <a:p>
          <a:pPr algn="ctr" rtl="0">
            <a:defRPr sz="1000"/>
          </a:pPr>
          <a:endParaRPr lang="en-US" altLang="ja-JP" sz="1200" b="0" i="0" u="none" strike="noStrike" baseline="0">
            <a:solidFill>
              <a:srgbClr val="000000"/>
            </a:solidFill>
            <a:latin typeface="ＭＳ Ｐゴシック"/>
            <a:ea typeface="ＭＳ Ｐゴシック"/>
          </a:endParaRPr>
        </a:p>
        <a:p>
          <a:pPr algn="ctr" rtl="0">
            <a:defRPr sz="1000"/>
          </a:pPr>
          <a:endParaRPr lang="ja-JP" altLang="en-US" sz="1200" b="0" i="0" u="none" strike="noStrike" baseline="0">
            <a:solidFill>
              <a:srgbClr val="000000"/>
            </a:solidFill>
            <a:latin typeface="ＭＳ Ｐゴシック"/>
            <a:ea typeface="ＭＳ Ｐゴシック"/>
          </a:endParaRPr>
        </a:p>
      </xdr:txBody>
    </xdr:sp>
    <xdr:clientData/>
  </xdr:oneCellAnchor>
  <xdr:twoCellAnchor>
    <xdr:from>
      <xdr:col>35</xdr:col>
      <xdr:colOff>42796</xdr:colOff>
      <xdr:row>60</xdr:row>
      <xdr:rowOff>24458</xdr:rowOff>
    </xdr:from>
    <xdr:to>
      <xdr:col>38</xdr:col>
      <xdr:colOff>112969</xdr:colOff>
      <xdr:row>62</xdr:row>
      <xdr:rowOff>43696</xdr:rowOff>
    </xdr:to>
    <xdr:sp macro="" textlink="">
      <xdr:nvSpPr>
        <xdr:cNvPr id="248" name="Text Box 569">
          <a:extLst>
            <a:ext uri="{FF2B5EF4-FFF2-40B4-BE49-F238E27FC236}">
              <a16:creationId xmlns:a16="http://schemas.microsoft.com/office/drawing/2014/main" xmlns="" id="{809488A8-E75A-45E1-B157-F7E8B3BE3875}"/>
            </a:ext>
          </a:extLst>
        </xdr:cNvPr>
        <xdr:cNvSpPr txBox="1">
          <a:spLocks noChangeArrowheads="1"/>
        </xdr:cNvSpPr>
      </xdr:nvSpPr>
      <xdr:spPr bwMode="auto">
        <a:xfrm rot="16200000">
          <a:off x="6614536" y="10863264"/>
          <a:ext cx="411783" cy="624354"/>
        </a:xfrm>
        <a:prstGeom prst="rect">
          <a:avLst/>
        </a:prstGeom>
        <a:noFill/>
        <a:ln w="9525">
          <a:noFill/>
          <a:miter lim="800000"/>
          <a:headEnd/>
          <a:tailEnd/>
        </a:ln>
      </xdr:spPr>
      <xdr:txBody>
        <a:bodyPr vertOverflow="clip" vert="eaVert" wrap="none" lIns="0" tIns="0" rIns="0" bIns="0" anchor="ctr" anchorCtr="1" upright="1">
          <a:noAutofit/>
        </a:bodyPr>
        <a:lstStyle/>
        <a:p>
          <a:pPr algn="l" rtl="0">
            <a:defRPr sz="1000"/>
          </a:pPr>
          <a:r>
            <a:rPr lang="ja-JP" altLang="en-US" sz="900" b="0" i="0" u="none" strike="noStrike" baseline="0">
              <a:solidFill>
                <a:srgbClr val="000000"/>
              </a:solidFill>
              <a:latin typeface="ＭＳ Ｐゴシック"/>
              <a:ea typeface="ＭＳ Ｐゴシック"/>
            </a:rPr>
            <a:t>ジョイント</a:t>
          </a:r>
          <a:endParaRPr lang="en-US" altLang="ja-JP" sz="900" b="0" i="0" u="none" strike="noStrike" baseline="0">
            <a:solidFill>
              <a:srgbClr val="000000"/>
            </a:solidFill>
            <a:latin typeface="ＭＳ Ｐゴシック"/>
            <a:ea typeface="ＭＳ Ｐゴシック"/>
          </a:endParaRPr>
        </a:p>
        <a:p>
          <a:pPr algn="l" rtl="0">
            <a:defRPr sz="1000"/>
          </a:pPr>
          <a:r>
            <a:rPr lang="ja-JP" altLang="en-US" sz="900" b="0" i="0" u="none" strike="noStrike" baseline="0">
              <a:solidFill>
                <a:srgbClr val="000000"/>
              </a:solidFill>
              <a:latin typeface="ＭＳ Ｐゴシック"/>
              <a:ea typeface="ＭＳ Ｐゴシック"/>
            </a:rPr>
            <a:t>　　２号機</a:t>
          </a:r>
        </a:p>
      </xdr:txBody>
    </xdr:sp>
    <xdr:clientData/>
  </xdr:twoCellAnchor>
  <xdr:twoCellAnchor>
    <xdr:from>
      <xdr:col>40</xdr:col>
      <xdr:colOff>149624</xdr:colOff>
      <xdr:row>85</xdr:row>
      <xdr:rowOff>35504</xdr:rowOff>
    </xdr:from>
    <xdr:to>
      <xdr:col>42</xdr:col>
      <xdr:colOff>106399</xdr:colOff>
      <xdr:row>88</xdr:row>
      <xdr:rowOff>6928</xdr:rowOff>
    </xdr:to>
    <xdr:sp macro="" textlink="">
      <xdr:nvSpPr>
        <xdr:cNvPr id="249" name="正方形/長方形 248">
          <a:extLst>
            <a:ext uri="{FF2B5EF4-FFF2-40B4-BE49-F238E27FC236}">
              <a16:creationId xmlns:a16="http://schemas.microsoft.com/office/drawing/2014/main" xmlns="" id="{0F7EF8BD-C020-4EDC-BD59-EB2D258E75DB}"/>
            </a:ext>
          </a:extLst>
        </xdr:cNvPr>
        <xdr:cNvSpPr/>
      </xdr:nvSpPr>
      <xdr:spPr bwMode="auto">
        <a:xfrm>
          <a:off x="7538715" y="15887413"/>
          <a:ext cx="326229" cy="560242"/>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77</xdr:col>
      <xdr:colOff>22242</xdr:colOff>
      <xdr:row>70</xdr:row>
      <xdr:rowOff>29173</xdr:rowOff>
    </xdr:from>
    <xdr:to>
      <xdr:col>78</xdr:col>
      <xdr:colOff>98442</xdr:colOff>
      <xdr:row>73</xdr:row>
      <xdr:rowOff>108513</xdr:rowOff>
    </xdr:to>
    <xdr:sp macro="" textlink="">
      <xdr:nvSpPr>
        <xdr:cNvPr id="250" name="Rectangle 581">
          <a:extLst>
            <a:ext uri="{FF2B5EF4-FFF2-40B4-BE49-F238E27FC236}">
              <a16:creationId xmlns:a16="http://schemas.microsoft.com/office/drawing/2014/main" xmlns="" id="{789320C9-090E-7E29-FF4D-828ED5E1F0D3}"/>
            </a:ext>
          </a:extLst>
        </xdr:cNvPr>
        <xdr:cNvSpPr>
          <a:spLocks noChangeArrowheads="1"/>
        </xdr:cNvSpPr>
      </xdr:nvSpPr>
      <xdr:spPr bwMode="auto">
        <a:xfrm rot="10800000">
          <a:off x="14246242" y="12936991"/>
          <a:ext cx="260927" cy="668158"/>
        </a:xfrm>
        <a:prstGeom prst="rect">
          <a:avLst/>
        </a:prstGeom>
        <a:solidFill>
          <a:srgbClr val="FFFFFF"/>
        </a:solidFill>
        <a:ln w="9525">
          <a:solidFill>
            <a:srgbClr val="000000"/>
          </a:solidFill>
          <a:miter lim="800000"/>
          <a:headEnd/>
          <a:tailEnd/>
        </a:ln>
      </xdr:spPr>
    </xdr:sp>
    <xdr:clientData/>
  </xdr:twoCellAnchor>
  <xdr:twoCellAnchor>
    <xdr:from>
      <xdr:col>76</xdr:col>
      <xdr:colOff>95250</xdr:colOff>
      <xdr:row>18</xdr:row>
      <xdr:rowOff>154420</xdr:rowOff>
    </xdr:from>
    <xdr:to>
      <xdr:col>77</xdr:col>
      <xdr:colOff>180050</xdr:colOff>
      <xdr:row>40</xdr:row>
      <xdr:rowOff>111703</xdr:rowOff>
    </xdr:to>
    <xdr:sp macro="" textlink="">
      <xdr:nvSpPr>
        <xdr:cNvPr id="251" name="Rectangle 581">
          <a:extLst>
            <a:ext uri="{FF2B5EF4-FFF2-40B4-BE49-F238E27FC236}">
              <a16:creationId xmlns:a16="http://schemas.microsoft.com/office/drawing/2014/main" xmlns="" id="{6BCD0DB5-1A2E-4C1C-8B15-30DEE88261A0}"/>
            </a:ext>
          </a:extLst>
        </xdr:cNvPr>
        <xdr:cNvSpPr>
          <a:spLocks noChangeArrowheads="1"/>
        </xdr:cNvSpPr>
      </xdr:nvSpPr>
      <xdr:spPr bwMode="auto">
        <a:xfrm>
          <a:off x="14134523" y="3167784"/>
          <a:ext cx="269527" cy="3963555"/>
        </a:xfrm>
        <a:prstGeom prst="rect">
          <a:avLst/>
        </a:prstGeom>
        <a:solidFill>
          <a:srgbClr val="FFFFFF"/>
        </a:solidFill>
        <a:ln w="9525">
          <a:solidFill>
            <a:srgbClr val="000000"/>
          </a:solidFill>
          <a:miter lim="800000"/>
          <a:headEnd/>
          <a:tailEnd/>
        </a:ln>
      </xdr:spPr>
    </xdr:sp>
    <xdr:clientData/>
  </xdr:twoCellAnchor>
  <xdr:oneCellAnchor>
    <xdr:from>
      <xdr:col>76</xdr:col>
      <xdr:colOff>152400</xdr:colOff>
      <xdr:row>26</xdr:row>
      <xdr:rowOff>139989</xdr:rowOff>
    </xdr:from>
    <xdr:ext cx="179601" cy="898003"/>
    <xdr:sp macro="" textlink="">
      <xdr:nvSpPr>
        <xdr:cNvPr id="252" name="Text Box 584">
          <a:extLst>
            <a:ext uri="{FF2B5EF4-FFF2-40B4-BE49-F238E27FC236}">
              <a16:creationId xmlns:a16="http://schemas.microsoft.com/office/drawing/2014/main" xmlns="" id="{870960B3-049E-48EC-BDC5-7D711DF6AF3D}"/>
            </a:ext>
          </a:extLst>
        </xdr:cNvPr>
        <xdr:cNvSpPr txBox="1">
          <a:spLocks noChangeArrowheads="1"/>
        </xdr:cNvSpPr>
      </xdr:nvSpPr>
      <xdr:spPr bwMode="auto">
        <a:xfrm>
          <a:off x="14191673" y="4446444"/>
          <a:ext cx="179601" cy="898003"/>
        </a:xfrm>
        <a:prstGeom prst="rect">
          <a:avLst/>
        </a:prstGeom>
        <a:noFill/>
        <a:ln w="9525">
          <a:noFill/>
          <a:miter lim="800000"/>
          <a:headEnd/>
          <a:tailEnd/>
        </a:ln>
      </xdr:spPr>
      <xdr:txBody>
        <a:bodyPr vertOverflow="clip" vert="wordArtVertRtl" wrap="none" lIns="0" tIns="0" rIns="0" bIns="0" anchor="ctr" upright="1">
          <a:spAutoFit/>
        </a:bodyPr>
        <a:lstStyle/>
        <a:p>
          <a:pPr algn="ctr" rtl="0">
            <a:defRPr sz="1000"/>
          </a:pPr>
          <a:r>
            <a:rPr lang="ja-JP" altLang="en-US" sz="1200" b="0" i="0" u="none" strike="noStrike" baseline="0">
              <a:solidFill>
                <a:srgbClr val="000000"/>
              </a:solidFill>
              <a:latin typeface="ＭＳ Ｐゴシック"/>
              <a:ea typeface="ＭＳ Ｐゴシック"/>
            </a:rPr>
            <a:t>端子置き場</a:t>
          </a:r>
        </a:p>
      </xdr:txBody>
    </xdr:sp>
    <xdr:clientData/>
  </xdr:oneCellAnchor>
  <xdr:twoCellAnchor>
    <xdr:from>
      <xdr:col>53</xdr:col>
      <xdr:colOff>165085</xdr:colOff>
      <xdr:row>41</xdr:row>
      <xdr:rowOff>95828</xdr:rowOff>
    </xdr:from>
    <xdr:to>
      <xdr:col>58</xdr:col>
      <xdr:colOff>66669</xdr:colOff>
      <xdr:row>45</xdr:row>
      <xdr:rowOff>53828</xdr:rowOff>
    </xdr:to>
    <xdr:grpSp>
      <xdr:nvGrpSpPr>
        <xdr:cNvPr id="253" name="グループ化 252">
          <a:extLst>
            <a:ext uri="{FF2B5EF4-FFF2-40B4-BE49-F238E27FC236}">
              <a16:creationId xmlns:a16="http://schemas.microsoft.com/office/drawing/2014/main" xmlns="" id="{588B6C30-7A69-4D15-BCA2-34370FAC937E}"/>
            </a:ext>
          </a:extLst>
        </xdr:cNvPr>
        <xdr:cNvGrpSpPr/>
      </xdr:nvGrpSpPr>
      <xdr:grpSpPr>
        <a:xfrm>
          <a:off x="9780799" y="7443685"/>
          <a:ext cx="808727" cy="756286"/>
          <a:chOff x="11620500" y="9045575"/>
          <a:chExt cx="916789" cy="720000"/>
        </a:xfrm>
      </xdr:grpSpPr>
      <xdr:sp macro="" textlink="">
        <xdr:nvSpPr>
          <xdr:cNvPr id="254" name="Rectangle 574">
            <a:extLst>
              <a:ext uri="{FF2B5EF4-FFF2-40B4-BE49-F238E27FC236}">
                <a16:creationId xmlns:a16="http://schemas.microsoft.com/office/drawing/2014/main" xmlns="" id="{E448AC81-2056-133D-82D1-478912B5DC6F}"/>
              </a:ext>
            </a:extLst>
          </xdr:cNvPr>
          <xdr:cNvSpPr>
            <a:spLocks noChangeArrowheads="1"/>
          </xdr:cNvSpPr>
        </xdr:nvSpPr>
        <xdr:spPr bwMode="auto">
          <a:xfrm>
            <a:off x="11620500" y="9045575"/>
            <a:ext cx="912700" cy="720000"/>
          </a:xfrm>
          <a:prstGeom prst="rect">
            <a:avLst/>
          </a:prstGeom>
          <a:solidFill>
            <a:srgbClr val="FFFFFF"/>
          </a:solidFill>
          <a:ln w="9525">
            <a:solidFill>
              <a:srgbClr val="000000"/>
            </a:solidFill>
            <a:miter lim="800000"/>
            <a:headEnd/>
            <a:tailEnd/>
          </a:ln>
        </xdr:spPr>
      </xdr:sp>
      <xdr:sp macro="" textlink="">
        <xdr:nvSpPr>
          <xdr:cNvPr id="255" name="Text Box 568">
            <a:extLst>
              <a:ext uri="{FF2B5EF4-FFF2-40B4-BE49-F238E27FC236}">
                <a16:creationId xmlns:a16="http://schemas.microsoft.com/office/drawing/2014/main" xmlns="" id="{ACD1C0FB-34F0-32E4-5084-8C52B6D02237}"/>
              </a:ext>
            </a:extLst>
          </xdr:cNvPr>
          <xdr:cNvSpPr txBox="1">
            <a:spLocks noChangeArrowheads="1"/>
          </xdr:cNvSpPr>
        </xdr:nvSpPr>
        <xdr:spPr bwMode="auto">
          <a:xfrm>
            <a:off x="11655435" y="9229725"/>
            <a:ext cx="881854" cy="365125"/>
          </a:xfrm>
          <a:prstGeom prst="rect">
            <a:avLst/>
          </a:prstGeom>
          <a:noFill/>
          <a:ln w="9525">
            <a:noFill/>
            <a:miter lim="800000"/>
            <a:headEnd/>
            <a:tailEnd/>
          </a:ln>
        </xdr:spPr>
        <xdr:txBody>
          <a:bodyPr vertOverflow="clip" wrap="square" lIns="0" tIns="0" rIns="0" bIns="0" anchor="ctr" upright="1"/>
          <a:lstStyle/>
          <a:p>
            <a:pPr algn="ctr" rtl="0">
              <a:defRPr sz="1000"/>
            </a:pPr>
            <a:r>
              <a:rPr lang="ja-JP" altLang="en-US" sz="1200" b="0" i="0" u="none" strike="noStrike" baseline="0">
                <a:solidFill>
                  <a:srgbClr val="000000"/>
                </a:solidFill>
                <a:latin typeface="ＭＳ Ｐゴシック"/>
                <a:ea typeface="ＭＳ Ｐゴシック"/>
              </a:rPr>
              <a:t>ＪＡＭ圧着</a:t>
            </a:r>
          </a:p>
        </xdr:txBody>
      </xdr:sp>
    </xdr:grpSp>
    <xdr:clientData/>
  </xdr:twoCellAnchor>
  <xdr:twoCellAnchor>
    <xdr:from>
      <xdr:col>78</xdr:col>
      <xdr:colOff>114299</xdr:colOff>
      <xdr:row>7</xdr:row>
      <xdr:rowOff>108816</xdr:rowOff>
    </xdr:from>
    <xdr:to>
      <xdr:col>79</xdr:col>
      <xdr:colOff>2596</xdr:colOff>
      <xdr:row>73</xdr:row>
      <xdr:rowOff>127001</xdr:rowOff>
    </xdr:to>
    <xdr:sp macro="" textlink="">
      <xdr:nvSpPr>
        <xdr:cNvPr id="256" name="Rectangle 101">
          <a:extLst>
            <a:ext uri="{FF2B5EF4-FFF2-40B4-BE49-F238E27FC236}">
              <a16:creationId xmlns:a16="http://schemas.microsoft.com/office/drawing/2014/main" xmlns="" id="{BA2F002B-8307-44F3-8D1A-140092BCA991}"/>
            </a:ext>
          </a:extLst>
        </xdr:cNvPr>
        <xdr:cNvSpPr>
          <a:spLocks noChangeArrowheads="1"/>
        </xdr:cNvSpPr>
      </xdr:nvSpPr>
      <xdr:spPr bwMode="auto">
        <a:xfrm>
          <a:off x="14523026" y="1344180"/>
          <a:ext cx="73025" cy="12279457"/>
        </a:xfrm>
        <a:prstGeom prst="rect">
          <a:avLst/>
        </a:prstGeom>
        <a:solidFill>
          <a:srgbClr val="FFFFFF"/>
        </a:solidFill>
        <a:ln w="9525">
          <a:solidFill>
            <a:srgbClr val="000000"/>
          </a:solidFill>
          <a:miter lim="800000"/>
          <a:headEnd/>
          <a:tailEnd/>
        </a:ln>
      </xdr:spPr>
    </xdr:sp>
    <xdr:clientData/>
  </xdr:twoCellAnchor>
  <xdr:twoCellAnchor>
    <xdr:from>
      <xdr:col>78</xdr:col>
      <xdr:colOff>88900</xdr:colOff>
      <xdr:row>81</xdr:row>
      <xdr:rowOff>165101</xdr:rowOff>
    </xdr:from>
    <xdr:to>
      <xdr:col>78</xdr:col>
      <xdr:colOff>180975</xdr:colOff>
      <xdr:row>89</xdr:row>
      <xdr:rowOff>127000</xdr:rowOff>
    </xdr:to>
    <xdr:sp macro="" textlink="">
      <xdr:nvSpPr>
        <xdr:cNvPr id="257" name="Rectangle 137">
          <a:extLst>
            <a:ext uri="{FF2B5EF4-FFF2-40B4-BE49-F238E27FC236}">
              <a16:creationId xmlns:a16="http://schemas.microsoft.com/office/drawing/2014/main" xmlns="" id="{11149846-1CCF-4444-9A86-E272F2703572}"/>
            </a:ext>
          </a:extLst>
        </xdr:cNvPr>
        <xdr:cNvSpPr>
          <a:spLocks noChangeArrowheads="1"/>
        </xdr:cNvSpPr>
      </xdr:nvSpPr>
      <xdr:spPr bwMode="auto">
        <a:xfrm>
          <a:off x="14497627" y="15231919"/>
          <a:ext cx="92075" cy="1532081"/>
        </a:xfrm>
        <a:prstGeom prst="rect">
          <a:avLst/>
        </a:prstGeom>
        <a:solidFill>
          <a:srgbClr val="FFFFFF"/>
        </a:solidFill>
        <a:ln w="9525">
          <a:solidFill>
            <a:srgbClr val="000000"/>
          </a:solidFill>
          <a:miter lim="800000"/>
          <a:headEnd/>
          <a:tailEnd/>
        </a:ln>
      </xdr:spPr>
    </xdr:sp>
    <xdr:clientData/>
  </xdr:twoCellAnchor>
  <xdr:twoCellAnchor>
    <xdr:from>
      <xdr:col>8</xdr:col>
      <xdr:colOff>0</xdr:colOff>
      <xdr:row>39</xdr:row>
      <xdr:rowOff>16452</xdr:rowOff>
    </xdr:from>
    <xdr:to>
      <xdr:col>48</xdr:col>
      <xdr:colOff>114300</xdr:colOff>
      <xdr:row>39</xdr:row>
      <xdr:rowOff>127000</xdr:rowOff>
    </xdr:to>
    <xdr:sp macro="" textlink="">
      <xdr:nvSpPr>
        <xdr:cNvPr id="258" name="Rectangle 84">
          <a:extLst>
            <a:ext uri="{FF2B5EF4-FFF2-40B4-BE49-F238E27FC236}">
              <a16:creationId xmlns:a16="http://schemas.microsoft.com/office/drawing/2014/main" xmlns="" id="{F6751F10-2F66-4B83-95FC-6E2FA2C62987}"/>
            </a:ext>
          </a:extLst>
        </xdr:cNvPr>
        <xdr:cNvSpPr>
          <a:spLocks noChangeArrowheads="1"/>
        </xdr:cNvSpPr>
      </xdr:nvSpPr>
      <xdr:spPr bwMode="auto">
        <a:xfrm>
          <a:off x="1477818" y="6839816"/>
          <a:ext cx="7503391" cy="110548"/>
        </a:xfrm>
        <a:prstGeom prst="rect">
          <a:avLst/>
        </a:prstGeom>
        <a:solidFill>
          <a:srgbClr val="FFFFFF"/>
        </a:solidFill>
        <a:ln w="9525">
          <a:solidFill>
            <a:srgbClr val="000000"/>
          </a:solidFill>
          <a:miter lim="800000"/>
          <a:headEnd/>
          <a:tailEnd/>
        </a:ln>
      </xdr:spPr>
    </xdr:sp>
    <xdr:clientData/>
  </xdr:twoCellAnchor>
  <xdr:twoCellAnchor>
    <xdr:from>
      <xdr:col>77</xdr:col>
      <xdr:colOff>78950</xdr:colOff>
      <xdr:row>70</xdr:row>
      <xdr:rowOff>121076</xdr:rowOff>
    </xdr:from>
    <xdr:to>
      <xdr:col>78</xdr:col>
      <xdr:colOff>155150</xdr:colOff>
      <xdr:row>75</xdr:row>
      <xdr:rowOff>148153</xdr:rowOff>
    </xdr:to>
    <xdr:sp macro="" textlink="">
      <xdr:nvSpPr>
        <xdr:cNvPr id="259" name="Text Box 554">
          <a:extLst>
            <a:ext uri="{FF2B5EF4-FFF2-40B4-BE49-F238E27FC236}">
              <a16:creationId xmlns:a16="http://schemas.microsoft.com/office/drawing/2014/main" xmlns="" id="{BFB168FB-1B43-4ADD-A3A9-088B7AA03F37}"/>
            </a:ext>
          </a:extLst>
        </xdr:cNvPr>
        <xdr:cNvSpPr txBox="1">
          <a:spLocks noChangeArrowheads="1"/>
        </xdr:cNvSpPr>
      </xdr:nvSpPr>
      <xdr:spPr bwMode="auto">
        <a:xfrm rot="5400000">
          <a:off x="13929193" y="13402651"/>
          <a:ext cx="1008441" cy="260927"/>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800" b="0" i="0" u="none" strike="noStrike" baseline="0">
              <a:solidFill>
                <a:srgbClr val="000000"/>
              </a:solidFill>
              <a:latin typeface="ＭＳ Ｐゴシック"/>
              <a:ea typeface="ＭＳ Ｐゴシック"/>
            </a:rPr>
            <a:t>試し線置き場</a:t>
          </a:r>
          <a:endParaRPr lang="en-US" altLang="ja-JP" sz="800" b="0" i="0" u="none" strike="noStrike" baseline="0">
            <a:solidFill>
              <a:srgbClr val="000000"/>
            </a:solidFill>
            <a:latin typeface="ＭＳ Ｐゴシック"/>
            <a:ea typeface="ＭＳ Ｐゴシック"/>
          </a:endParaRPr>
        </a:p>
      </xdr:txBody>
    </xdr:sp>
    <xdr:clientData/>
  </xdr:twoCellAnchor>
  <xdr:twoCellAnchor>
    <xdr:from>
      <xdr:col>29</xdr:col>
      <xdr:colOff>171450</xdr:colOff>
      <xdr:row>61</xdr:row>
      <xdr:rowOff>95651</xdr:rowOff>
    </xdr:from>
    <xdr:to>
      <xdr:col>31</xdr:col>
      <xdr:colOff>9526</xdr:colOff>
      <xdr:row>63</xdr:row>
      <xdr:rowOff>174625</xdr:rowOff>
    </xdr:to>
    <xdr:sp macro="" textlink="">
      <xdr:nvSpPr>
        <xdr:cNvPr id="260" name="正方形/長方形 259">
          <a:extLst>
            <a:ext uri="{FF2B5EF4-FFF2-40B4-BE49-F238E27FC236}">
              <a16:creationId xmlns:a16="http://schemas.microsoft.com/office/drawing/2014/main" xmlns="" id="{26F61509-029C-41B8-BF2C-F663CCD3C1F2}"/>
            </a:ext>
          </a:extLst>
        </xdr:cNvPr>
        <xdr:cNvSpPr/>
      </xdr:nvSpPr>
      <xdr:spPr bwMode="auto">
        <a:xfrm>
          <a:off x="5528541" y="11237015"/>
          <a:ext cx="207530" cy="471519"/>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29</xdr:col>
      <xdr:colOff>152400</xdr:colOff>
      <xdr:row>69</xdr:row>
      <xdr:rowOff>102178</xdr:rowOff>
    </xdr:from>
    <xdr:to>
      <xdr:col>31</xdr:col>
      <xdr:colOff>38099</xdr:colOff>
      <xdr:row>71</xdr:row>
      <xdr:rowOff>174625</xdr:rowOff>
    </xdr:to>
    <xdr:sp macro="" textlink="">
      <xdr:nvSpPr>
        <xdr:cNvPr id="261" name="正方形/長方形 260">
          <a:extLst>
            <a:ext uri="{FF2B5EF4-FFF2-40B4-BE49-F238E27FC236}">
              <a16:creationId xmlns:a16="http://schemas.microsoft.com/office/drawing/2014/main" xmlns="" id="{70CAF647-BF58-42DC-AD91-D797B35B1DF9}"/>
            </a:ext>
          </a:extLst>
        </xdr:cNvPr>
        <xdr:cNvSpPr/>
      </xdr:nvSpPr>
      <xdr:spPr bwMode="auto">
        <a:xfrm>
          <a:off x="5509491" y="12813723"/>
          <a:ext cx="255153" cy="464993"/>
        </a:xfrm>
        <a:prstGeom prst="rect">
          <a:avLst/>
        </a:prstGeom>
        <a:solidFill>
          <a:schemeClr val="bg1"/>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xdr:from>
      <xdr:col>73</xdr:col>
      <xdr:colOff>44850</xdr:colOff>
      <xdr:row>74</xdr:row>
      <xdr:rowOff>130002</xdr:rowOff>
    </xdr:from>
    <xdr:to>
      <xdr:col>76</xdr:col>
      <xdr:colOff>161924</xdr:colOff>
      <xdr:row>75</xdr:row>
      <xdr:rowOff>165100</xdr:rowOff>
    </xdr:to>
    <xdr:sp macro="" textlink="">
      <xdr:nvSpPr>
        <xdr:cNvPr id="262" name="Rectangle 581">
          <a:extLst>
            <a:ext uri="{FF2B5EF4-FFF2-40B4-BE49-F238E27FC236}">
              <a16:creationId xmlns:a16="http://schemas.microsoft.com/office/drawing/2014/main" xmlns="" id="{5AD9E8A1-2AB5-413E-8A72-9F2934828AA7}"/>
            </a:ext>
          </a:extLst>
        </xdr:cNvPr>
        <xdr:cNvSpPr>
          <a:spLocks noChangeArrowheads="1"/>
        </xdr:cNvSpPr>
      </xdr:nvSpPr>
      <xdr:spPr bwMode="auto">
        <a:xfrm rot="5400000">
          <a:off x="13749883" y="13602969"/>
          <a:ext cx="231371" cy="671256"/>
        </a:xfrm>
        <a:prstGeom prst="rect">
          <a:avLst/>
        </a:prstGeom>
        <a:solidFill>
          <a:srgbClr val="FFFFFF"/>
        </a:solidFill>
        <a:ln w="9525">
          <a:solidFill>
            <a:srgbClr val="000000"/>
          </a:solidFill>
          <a:miter lim="800000"/>
          <a:headEnd/>
          <a:tailEnd/>
        </a:ln>
      </xdr:spPr>
    </xdr:sp>
    <xdr:clientData/>
  </xdr:twoCellAnchor>
  <xdr:twoCellAnchor>
    <xdr:from>
      <xdr:col>64</xdr:col>
      <xdr:colOff>92473</xdr:colOff>
      <xdr:row>74</xdr:row>
      <xdr:rowOff>129999</xdr:rowOff>
    </xdr:from>
    <xdr:to>
      <xdr:col>68</xdr:col>
      <xdr:colOff>9522</xdr:colOff>
      <xdr:row>75</xdr:row>
      <xdr:rowOff>165100</xdr:rowOff>
    </xdr:to>
    <xdr:sp macro="" textlink="">
      <xdr:nvSpPr>
        <xdr:cNvPr id="263" name="Rectangle 581">
          <a:extLst>
            <a:ext uri="{FF2B5EF4-FFF2-40B4-BE49-F238E27FC236}">
              <a16:creationId xmlns:a16="http://schemas.microsoft.com/office/drawing/2014/main" xmlns="" id="{AF005799-DA5B-4D74-8D07-08984E70718D}"/>
            </a:ext>
          </a:extLst>
        </xdr:cNvPr>
        <xdr:cNvSpPr>
          <a:spLocks noChangeArrowheads="1"/>
        </xdr:cNvSpPr>
      </xdr:nvSpPr>
      <xdr:spPr bwMode="auto">
        <a:xfrm rot="5400000">
          <a:off x="12127311" y="13610615"/>
          <a:ext cx="231374" cy="655959"/>
        </a:xfrm>
        <a:prstGeom prst="rect">
          <a:avLst/>
        </a:prstGeom>
        <a:solidFill>
          <a:srgbClr val="FFFFFF"/>
        </a:solidFill>
        <a:ln w="9525">
          <a:solidFill>
            <a:srgbClr val="000000"/>
          </a:solidFill>
          <a:miter lim="800000"/>
          <a:headEnd/>
          <a:tailEnd/>
        </a:ln>
      </xdr:spPr>
      <xdr:txBody>
        <a:bodyPr/>
        <a:lstStyle/>
        <a:p>
          <a:endParaRPr lang="ja-JP" altLang="en-US"/>
        </a:p>
      </xdr:txBody>
    </xdr:sp>
    <xdr:clientData/>
  </xdr:twoCellAnchor>
  <xdr:twoCellAnchor>
    <xdr:from>
      <xdr:col>64</xdr:col>
      <xdr:colOff>168675</xdr:colOff>
      <xdr:row>74</xdr:row>
      <xdr:rowOff>168100</xdr:rowOff>
    </xdr:from>
    <xdr:to>
      <xdr:col>67</xdr:col>
      <xdr:colOff>184150</xdr:colOff>
      <xdr:row>75</xdr:row>
      <xdr:rowOff>92652</xdr:rowOff>
    </xdr:to>
    <xdr:sp macro="" textlink="">
      <xdr:nvSpPr>
        <xdr:cNvPr id="264" name="Text Box 554">
          <a:extLst>
            <a:ext uri="{FF2B5EF4-FFF2-40B4-BE49-F238E27FC236}">
              <a16:creationId xmlns:a16="http://schemas.microsoft.com/office/drawing/2014/main" xmlns="" id="{CF3CD178-47AF-48E3-B164-3E86EDD3201E}"/>
            </a:ext>
          </a:extLst>
        </xdr:cNvPr>
        <xdr:cNvSpPr txBox="1">
          <a:spLocks noChangeArrowheads="1"/>
        </xdr:cNvSpPr>
      </xdr:nvSpPr>
      <xdr:spPr bwMode="auto">
        <a:xfrm>
          <a:off x="11991220" y="13861009"/>
          <a:ext cx="569657" cy="120825"/>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800" b="0" i="0" u="none" strike="noStrike" baseline="0">
              <a:solidFill>
                <a:srgbClr val="000000"/>
              </a:solidFill>
              <a:latin typeface="ＭＳ Ｐゴシック"/>
              <a:ea typeface="ＭＳ Ｐゴシック"/>
            </a:rPr>
            <a:t>端子置き場</a:t>
          </a:r>
          <a:endParaRPr lang="en-US" altLang="ja-JP" sz="800" b="0" i="0" u="none" strike="noStrike" baseline="0">
            <a:solidFill>
              <a:srgbClr val="000000"/>
            </a:solidFill>
            <a:latin typeface="ＭＳ Ｐゴシック"/>
            <a:ea typeface="ＭＳ Ｐゴシック"/>
          </a:endParaRPr>
        </a:p>
      </xdr:txBody>
    </xdr:sp>
    <xdr:clientData/>
  </xdr:twoCellAnchor>
  <xdr:twoCellAnchor>
    <xdr:from>
      <xdr:col>73</xdr:col>
      <xdr:colOff>102002</xdr:colOff>
      <xdr:row>74</xdr:row>
      <xdr:rowOff>168103</xdr:rowOff>
    </xdr:from>
    <xdr:to>
      <xdr:col>76</xdr:col>
      <xdr:colOff>95251</xdr:colOff>
      <xdr:row>75</xdr:row>
      <xdr:rowOff>184151</xdr:rowOff>
    </xdr:to>
    <xdr:sp macro="" textlink="">
      <xdr:nvSpPr>
        <xdr:cNvPr id="265" name="Text Box 554">
          <a:extLst>
            <a:ext uri="{FF2B5EF4-FFF2-40B4-BE49-F238E27FC236}">
              <a16:creationId xmlns:a16="http://schemas.microsoft.com/office/drawing/2014/main" xmlns="" id="{CCC872B3-3F6D-4DC0-BB37-4828D063D807}"/>
            </a:ext>
          </a:extLst>
        </xdr:cNvPr>
        <xdr:cNvSpPr txBox="1">
          <a:spLocks noChangeArrowheads="1"/>
        </xdr:cNvSpPr>
      </xdr:nvSpPr>
      <xdr:spPr bwMode="auto">
        <a:xfrm>
          <a:off x="13587093" y="13861012"/>
          <a:ext cx="547431" cy="212321"/>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800" b="0" i="0" u="none" strike="noStrike" baseline="0">
              <a:solidFill>
                <a:srgbClr val="000000"/>
              </a:solidFill>
              <a:latin typeface="ＭＳ Ｐゴシック"/>
              <a:ea typeface="ＭＳ Ｐゴシック"/>
            </a:rPr>
            <a:t>端子置き場</a:t>
          </a:r>
          <a:endParaRPr lang="en-US" altLang="ja-JP" sz="800" b="0" i="0" u="none" strike="noStrike" baseline="0">
            <a:solidFill>
              <a:srgbClr val="000000"/>
            </a:solidFill>
            <a:latin typeface="ＭＳ Ｐゴシック"/>
            <a:ea typeface="ＭＳ Ｐゴシック"/>
          </a:endParaRPr>
        </a:p>
      </xdr:txBody>
    </xdr:sp>
    <xdr:clientData/>
  </xdr:twoCellAnchor>
  <xdr:twoCellAnchor>
    <xdr:from>
      <xdr:col>49</xdr:col>
      <xdr:colOff>38100</xdr:colOff>
      <xdr:row>53</xdr:row>
      <xdr:rowOff>105176</xdr:rowOff>
    </xdr:from>
    <xdr:to>
      <xdr:col>50</xdr:col>
      <xdr:colOff>142875</xdr:colOff>
      <xdr:row>57</xdr:row>
      <xdr:rowOff>16452</xdr:rowOff>
    </xdr:to>
    <xdr:sp macro="" textlink="">
      <xdr:nvSpPr>
        <xdr:cNvPr id="266" name="Rectangle 580">
          <a:extLst>
            <a:ext uri="{FF2B5EF4-FFF2-40B4-BE49-F238E27FC236}">
              <a16:creationId xmlns:a16="http://schemas.microsoft.com/office/drawing/2014/main" xmlns="" id="{F9E8FE57-F9DD-4588-B9C2-1D44A5D620A5}"/>
            </a:ext>
          </a:extLst>
        </xdr:cNvPr>
        <xdr:cNvSpPr>
          <a:spLocks noChangeArrowheads="1"/>
        </xdr:cNvSpPr>
      </xdr:nvSpPr>
      <xdr:spPr bwMode="auto">
        <a:xfrm>
          <a:off x="9089736" y="9676358"/>
          <a:ext cx="289503" cy="696367"/>
        </a:xfrm>
        <a:prstGeom prst="rect">
          <a:avLst/>
        </a:prstGeom>
        <a:solidFill>
          <a:srgbClr val="FFFFFF"/>
        </a:solidFill>
        <a:ln w="9525">
          <a:solidFill>
            <a:srgbClr val="000000"/>
          </a:solidFill>
          <a:miter lim="800000"/>
          <a:headEnd/>
          <a:tailEnd/>
        </a:ln>
      </xdr:spPr>
    </xdr:sp>
    <xdr:clientData/>
  </xdr:twoCellAnchor>
  <xdr:oneCellAnchor>
    <xdr:from>
      <xdr:col>48</xdr:col>
      <xdr:colOff>156509</xdr:colOff>
      <xdr:row>53</xdr:row>
      <xdr:rowOff>76601</xdr:rowOff>
    </xdr:from>
    <xdr:ext cx="472141" cy="673276"/>
    <xdr:sp macro="" textlink="">
      <xdr:nvSpPr>
        <xdr:cNvPr id="267" name="Text Box 584">
          <a:extLst>
            <a:ext uri="{FF2B5EF4-FFF2-40B4-BE49-F238E27FC236}">
              <a16:creationId xmlns:a16="http://schemas.microsoft.com/office/drawing/2014/main" xmlns="" id="{8A3CA024-084A-4B1D-844C-643C6842621E}"/>
            </a:ext>
          </a:extLst>
        </xdr:cNvPr>
        <xdr:cNvSpPr txBox="1">
          <a:spLocks noChangeArrowheads="1"/>
        </xdr:cNvSpPr>
      </xdr:nvSpPr>
      <xdr:spPr bwMode="auto">
        <a:xfrm>
          <a:off x="9023418" y="9647783"/>
          <a:ext cx="472141" cy="673276"/>
        </a:xfrm>
        <a:prstGeom prst="rect">
          <a:avLst/>
        </a:prstGeom>
        <a:noFill/>
        <a:ln w="9525">
          <a:noFill/>
          <a:miter lim="800000"/>
          <a:headEnd/>
          <a:tailEnd/>
        </a:ln>
      </xdr:spPr>
      <xdr:txBody>
        <a:bodyPr vertOverflow="clip" vert="wordArtVertRtl" wrap="square" lIns="0" tIns="0" rIns="0" bIns="0" anchor="ctr" upright="1">
          <a:noAutofit/>
        </a:bodyPr>
        <a:lstStyle/>
        <a:p>
          <a:pPr algn="ctr" rtl="0">
            <a:defRPr sz="1000"/>
          </a:pPr>
          <a:r>
            <a:rPr lang="ja-JP" altLang="en-US" sz="700" b="0" i="0" u="none" strike="noStrike" baseline="0">
              <a:solidFill>
                <a:srgbClr val="000000"/>
              </a:solidFill>
              <a:latin typeface="ＭＳ Ｐゴシック"/>
              <a:ea typeface="ＭＳ Ｐゴシック"/>
            </a:rPr>
            <a:t>端子置き場</a:t>
          </a:r>
        </a:p>
      </xdr:txBody>
    </xdr:sp>
    <xdr:clientData/>
  </xdr:oneCellAnchor>
  <xdr:twoCellAnchor>
    <xdr:from>
      <xdr:col>47</xdr:col>
      <xdr:colOff>57150</xdr:colOff>
      <xdr:row>17</xdr:row>
      <xdr:rowOff>138835</xdr:rowOff>
    </xdr:from>
    <xdr:to>
      <xdr:col>50</xdr:col>
      <xdr:colOff>31715</xdr:colOff>
      <xdr:row>19</xdr:row>
      <xdr:rowOff>103332</xdr:rowOff>
    </xdr:to>
    <xdr:sp macro="" textlink="">
      <xdr:nvSpPr>
        <xdr:cNvPr id="268" name="Rectangle 581">
          <a:extLst>
            <a:ext uri="{FF2B5EF4-FFF2-40B4-BE49-F238E27FC236}">
              <a16:creationId xmlns:a16="http://schemas.microsoft.com/office/drawing/2014/main" xmlns="" id="{38AEFDBA-C6A1-4F74-96A9-671FD2A7C1D5}"/>
            </a:ext>
          </a:extLst>
        </xdr:cNvPr>
        <xdr:cNvSpPr>
          <a:spLocks noChangeArrowheads="1"/>
        </xdr:cNvSpPr>
      </xdr:nvSpPr>
      <xdr:spPr bwMode="auto">
        <a:xfrm rot="5400000">
          <a:off x="8859821" y="2870073"/>
          <a:ext cx="287770" cy="528747"/>
        </a:xfrm>
        <a:prstGeom prst="rect">
          <a:avLst/>
        </a:prstGeom>
        <a:solidFill>
          <a:srgbClr val="FFFFFF"/>
        </a:solidFill>
        <a:ln w="9525">
          <a:solidFill>
            <a:srgbClr val="000000"/>
          </a:solidFill>
          <a:miter lim="800000"/>
          <a:headEnd/>
          <a:tailEnd/>
        </a:ln>
      </xdr:spPr>
    </xdr:sp>
    <xdr:clientData/>
  </xdr:twoCellAnchor>
  <xdr:twoCellAnchor>
    <xdr:from>
      <xdr:col>55</xdr:col>
      <xdr:colOff>181372</xdr:colOff>
      <xdr:row>74</xdr:row>
      <xdr:rowOff>127005</xdr:rowOff>
    </xdr:from>
    <xdr:to>
      <xdr:col>59</xdr:col>
      <xdr:colOff>104771</xdr:colOff>
      <xdr:row>75</xdr:row>
      <xdr:rowOff>155577</xdr:rowOff>
    </xdr:to>
    <xdr:sp macro="" textlink="">
      <xdr:nvSpPr>
        <xdr:cNvPr id="269" name="Rectangle 581">
          <a:extLst>
            <a:ext uri="{FF2B5EF4-FFF2-40B4-BE49-F238E27FC236}">
              <a16:creationId xmlns:a16="http://schemas.microsoft.com/office/drawing/2014/main" xmlns="" id="{39165D26-BC2E-481C-B904-B9CEBB843597}"/>
            </a:ext>
          </a:extLst>
        </xdr:cNvPr>
        <xdr:cNvSpPr>
          <a:spLocks noChangeArrowheads="1"/>
        </xdr:cNvSpPr>
      </xdr:nvSpPr>
      <xdr:spPr bwMode="auto">
        <a:xfrm rot="5400000">
          <a:off x="10560103" y="13601183"/>
          <a:ext cx="224845" cy="662308"/>
        </a:xfrm>
        <a:prstGeom prst="rect">
          <a:avLst/>
        </a:prstGeom>
        <a:solidFill>
          <a:srgbClr val="FFFFFF"/>
        </a:solidFill>
        <a:ln w="9525">
          <a:solidFill>
            <a:srgbClr val="000000"/>
          </a:solidFill>
          <a:miter lim="800000"/>
          <a:headEnd/>
          <a:tailEnd/>
        </a:ln>
      </xdr:spPr>
      <xdr:txBody>
        <a:bodyPr/>
        <a:lstStyle/>
        <a:p>
          <a:endParaRPr lang="ja-JP" altLang="en-US"/>
        </a:p>
      </xdr:txBody>
    </xdr:sp>
    <xdr:clientData/>
  </xdr:twoCellAnchor>
  <xdr:twoCellAnchor>
    <xdr:from>
      <xdr:col>56</xdr:col>
      <xdr:colOff>92474</xdr:colOff>
      <xdr:row>74</xdr:row>
      <xdr:rowOff>158574</xdr:rowOff>
    </xdr:from>
    <xdr:to>
      <xdr:col>61</xdr:col>
      <xdr:colOff>66154</xdr:colOff>
      <xdr:row>76</xdr:row>
      <xdr:rowOff>48026</xdr:rowOff>
    </xdr:to>
    <xdr:sp macro="" textlink="">
      <xdr:nvSpPr>
        <xdr:cNvPr id="270" name="Text Box 554">
          <a:extLst>
            <a:ext uri="{FF2B5EF4-FFF2-40B4-BE49-F238E27FC236}">
              <a16:creationId xmlns:a16="http://schemas.microsoft.com/office/drawing/2014/main" xmlns="" id="{1B7FD118-5F39-45EC-B28A-3799805FF209}"/>
            </a:ext>
          </a:extLst>
        </xdr:cNvPr>
        <xdr:cNvSpPr txBox="1">
          <a:spLocks noChangeArrowheads="1"/>
        </xdr:cNvSpPr>
      </xdr:nvSpPr>
      <xdr:spPr bwMode="auto">
        <a:xfrm>
          <a:off x="10437201" y="13851483"/>
          <a:ext cx="897317" cy="281998"/>
        </a:xfrm>
        <a:prstGeom prst="rect">
          <a:avLst/>
        </a:prstGeom>
        <a:noFill/>
        <a:ln w="9525">
          <a:noFill/>
          <a:miter lim="800000"/>
          <a:headEnd/>
          <a:tailEnd/>
        </a:ln>
      </xdr:spPr>
      <xdr:txBody>
        <a:bodyPr vertOverflow="clip" wrap="square" lIns="0" tIns="0" rIns="0" bIns="0" anchor="t" upright="1"/>
        <a:lstStyle/>
        <a:p>
          <a:pPr algn="l" rtl="0">
            <a:defRPr sz="1000"/>
          </a:pPr>
          <a:r>
            <a:rPr lang="ja-JP" altLang="en-US" sz="800" b="0" i="0" u="none" strike="noStrike" baseline="0">
              <a:solidFill>
                <a:srgbClr val="000000"/>
              </a:solidFill>
              <a:latin typeface="ＭＳ Ｐゴシック"/>
              <a:ea typeface="ＭＳ Ｐゴシック"/>
            </a:rPr>
            <a:t>端子置き場</a:t>
          </a:r>
          <a:endParaRPr lang="en-US" altLang="ja-JP" sz="800" b="0" i="0" u="none" strike="noStrike" baseline="0">
            <a:solidFill>
              <a:srgbClr val="000000"/>
            </a:solidFill>
            <a:latin typeface="ＭＳ Ｐゴシック"/>
            <a:ea typeface="ＭＳ Ｐゴシック"/>
          </a:endParaRPr>
        </a:p>
      </xdr:txBody>
    </xdr:sp>
    <xdr:clientData/>
  </xdr:twoCellAnchor>
  <xdr:twoCellAnchor>
    <xdr:from>
      <xdr:col>76</xdr:col>
      <xdr:colOff>133349</xdr:colOff>
      <xdr:row>62</xdr:row>
      <xdr:rowOff>16453</xdr:rowOff>
    </xdr:from>
    <xdr:to>
      <xdr:col>78</xdr:col>
      <xdr:colOff>38099</xdr:colOff>
      <xdr:row>65</xdr:row>
      <xdr:rowOff>152575</xdr:rowOff>
    </xdr:to>
    <xdr:sp macro="" textlink="">
      <xdr:nvSpPr>
        <xdr:cNvPr id="271" name="Rectangle 580">
          <a:extLst>
            <a:ext uri="{FF2B5EF4-FFF2-40B4-BE49-F238E27FC236}">
              <a16:creationId xmlns:a16="http://schemas.microsoft.com/office/drawing/2014/main" xmlns="" id="{5ECCB64F-7827-476A-A902-C428DCE11092}"/>
            </a:ext>
          </a:extLst>
        </xdr:cNvPr>
        <xdr:cNvSpPr>
          <a:spLocks noChangeArrowheads="1"/>
        </xdr:cNvSpPr>
      </xdr:nvSpPr>
      <xdr:spPr bwMode="auto">
        <a:xfrm>
          <a:off x="14172622" y="11354089"/>
          <a:ext cx="274204" cy="724941"/>
        </a:xfrm>
        <a:prstGeom prst="rect">
          <a:avLst/>
        </a:prstGeom>
        <a:solidFill>
          <a:srgbClr val="FFFFFF"/>
        </a:solidFill>
        <a:ln w="9525">
          <a:solidFill>
            <a:srgbClr val="000000"/>
          </a:solidFill>
          <a:miter lim="800000"/>
          <a:headEnd/>
          <a:tailEnd/>
        </a:ln>
      </xdr:spPr>
    </xdr:sp>
    <xdr:clientData/>
  </xdr:twoCellAnchor>
  <xdr:oneCellAnchor>
    <xdr:from>
      <xdr:col>76</xdr:col>
      <xdr:colOff>57149</xdr:colOff>
      <xdr:row>61</xdr:row>
      <xdr:rowOff>184149</xdr:rowOff>
    </xdr:from>
    <xdr:ext cx="472141" cy="673276"/>
    <xdr:sp macro="" textlink="">
      <xdr:nvSpPr>
        <xdr:cNvPr id="272" name="Text Box 584">
          <a:extLst>
            <a:ext uri="{FF2B5EF4-FFF2-40B4-BE49-F238E27FC236}">
              <a16:creationId xmlns:a16="http://schemas.microsoft.com/office/drawing/2014/main" xmlns="" id="{827A2C18-8F99-4C5D-84A4-A7D7A573591C}"/>
            </a:ext>
          </a:extLst>
        </xdr:cNvPr>
        <xdr:cNvSpPr txBox="1">
          <a:spLocks noChangeArrowheads="1"/>
        </xdr:cNvSpPr>
      </xdr:nvSpPr>
      <xdr:spPr bwMode="auto">
        <a:xfrm>
          <a:off x="14096422" y="11325513"/>
          <a:ext cx="472141" cy="673276"/>
        </a:xfrm>
        <a:prstGeom prst="rect">
          <a:avLst/>
        </a:prstGeom>
        <a:noFill/>
        <a:ln w="9525">
          <a:noFill/>
          <a:miter lim="800000"/>
          <a:headEnd/>
          <a:tailEnd/>
        </a:ln>
      </xdr:spPr>
      <xdr:txBody>
        <a:bodyPr vertOverflow="clip" vert="wordArtVertRtl" wrap="square" lIns="0" tIns="0" rIns="0" bIns="0" anchor="ctr" upright="1">
          <a:noAutofit/>
        </a:bodyPr>
        <a:lstStyle/>
        <a:p>
          <a:pPr algn="ctr" rtl="0">
            <a:defRPr sz="1000"/>
          </a:pPr>
          <a:r>
            <a:rPr lang="ja-JP" altLang="en-US" sz="700" b="0" i="0" u="none" strike="noStrike" baseline="0">
              <a:solidFill>
                <a:srgbClr val="000000"/>
              </a:solidFill>
              <a:latin typeface="ＭＳ Ｐゴシック"/>
              <a:ea typeface="ＭＳ Ｐゴシック"/>
            </a:rPr>
            <a:t>端子置き場</a:t>
          </a:r>
        </a:p>
      </xdr:txBody>
    </xdr:sp>
    <xdr:clientData/>
  </xdr:oneCellAnchor>
  <xdr:twoCellAnchor>
    <xdr:from>
      <xdr:col>23</xdr:col>
      <xdr:colOff>174611</xdr:colOff>
      <xdr:row>36</xdr:row>
      <xdr:rowOff>49791</xdr:rowOff>
    </xdr:from>
    <xdr:to>
      <xdr:col>28</xdr:col>
      <xdr:colOff>72563</xdr:colOff>
      <xdr:row>38</xdr:row>
      <xdr:rowOff>148500</xdr:rowOff>
    </xdr:to>
    <xdr:sp macro="" textlink="">
      <xdr:nvSpPr>
        <xdr:cNvPr id="278" name="Rectangle 574">
          <a:extLst>
            <a:ext uri="{FF2B5EF4-FFF2-40B4-BE49-F238E27FC236}">
              <a16:creationId xmlns:a16="http://schemas.microsoft.com/office/drawing/2014/main" xmlns="" id="{E448AC81-2056-133D-82D1-478912B5DC6F}"/>
            </a:ext>
          </a:extLst>
        </xdr:cNvPr>
        <xdr:cNvSpPr>
          <a:spLocks noChangeArrowheads="1"/>
        </xdr:cNvSpPr>
      </xdr:nvSpPr>
      <xdr:spPr bwMode="auto">
        <a:xfrm>
          <a:off x="4423338" y="6284336"/>
          <a:ext cx="821589" cy="491255"/>
        </a:xfrm>
        <a:prstGeom prst="rect">
          <a:avLst/>
        </a:prstGeom>
        <a:solidFill>
          <a:srgbClr val="FFFFFF"/>
        </a:solidFill>
        <a:ln w="9525">
          <a:solidFill>
            <a:srgbClr val="000000"/>
          </a:solidFill>
          <a:miter lim="800000"/>
          <a:headEnd/>
          <a:tailEnd/>
        </a:ln>
      </xdr:spPr>
      <xdr:txBody>
        <a:bodyPr anchor="ctr"/>
        <a:lstStyle/>
        <a:p>
          <a:pPr algn="ctr"/>
          <a:r>
            <a:rPr lang="ja-JP" altLang="en-US"/>
            <a:t>ルーター</a:t>
          </a:r>
        </a:p>
      </xdr:txBody>
    </xdr:sp>
    <xdr:clientData/>
  </xdr:twoCellAnchor>
  <xdr:twoCellAnchor>
    <xdr:from>
      <xdr:col>28</xdr:col>
      <xdr:colOff>72563</xdr:colOff>
      <xdr:row>37</xdr:row>
      <xdr:rowOff>100228</xdr:rowOff>
    </xdr:from>
    <xdr:to>
      <xdr:col>45</xdr:col>
      <xdr:colOff>95250</xdr:colOff>
      <xdr:row>41</xdr:row>
      <xdr:rowOff>97415</xdr:rowOff>
    </xdr:to>
    <xdr:cxnSp macro="">
      <xdr:nvCxnSpPr>
        <xdr:cNvPr id="280" name="カギ線コネクタ 279"/>
        <xdr:cNvCxnSpPr>
          <a:stCxn id="278" idx="3"/>
        </xdr:cNvCxnSpPr>
      </xdr:nvCxnSpPr>
      <xdr:spPr>
        <a:xfrm>
          <a:off x="5244927" y="6531046"/>
          <a:ext cx="3163050" cy="782278"/>
        </a:xfrm>
        <a:prstGeom prst="bentConnector3">
          <a:avLst>
            <a:gd name="adj1" fmla="val 99764"/>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87313</xdr:colOff>
      <xdr:row>41</xdr:row>
      <xdr:rowOff>75188</xdr:rowOff>
    </xdr:from>
    <xdr:to>
      <xdr:col>54</xdr:col>
      <xdr:colOff>55562</xdr:colOff>
      <xdr:row>59</xdr:row>
      <xdr:rowOff>121227</xdr:rowOff>
    </xdr:to>
    <xdr:cxnSp macro="">
      <xdr:nvCxnSpPr>
        <xdr:cNvPr id="287" name="カギ線コネクタ 286"/>
        <xdr:cNvCxnSpPr>
          <a:endCxn id="355" idx="0"/>
        </xdr:cNvCxnSpPr>
      </xdr:nvCxnSpPr>
      <xdr:spPr>
        <a:xfrm rot="16200000" flipH="1">
          <a:off x="7425964" y="8265173"/>
          <a:ext cx="3578948" cy="1630795"/>
        </a:xfrm>
        <a:prstGeom prst="bentConnector3">
          <a:avLst>
            <a:gd name="adj1" fmla="val 636"/>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8719</xdr:colOff>
      <xdr:row>41</xdr:row>
      <xdr:rowOff>75188</xdr:rowOff>
    </xdr:from>
    <xdr:to>
      <xdr:col>45</xdr:col>
      <xdr:colOff>87315</xdr:colOff>
      <xdr:row>54</xdr:row>
      <xdr:rowOff>19077</xdr:rowOff>
    </xdr:to>
    <xdr:cxnSp macro="">
      <xdr:nvCxnSpPr>
        <xdr:cNvPr id="291" name="カギ線コネクタ 290"/>
        <xdr:cNvCxnSpPr>
          <a:endCxn id="173" idx="0"/>
        </xdr:cNvCxnSpPr>
      </xdr:nvCxnSpPr>
      <xdr:spPr>
        <a:xfrm rot="5400000">
          <a:off x="6374117" y="7760608"/>
          <a:ext cx="2495435" cy="1556414"/>
        </a:xfrm>
        <a:prstGeom prst="bentConnector3">
          <a:avLst>
            <a:gd name="adj1" fmla="val 933"/>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39688</xdr:colOff>
      <xdr:row>50</xdr:row>
      <xdr:rowOff>97415</xdr:rowOff>
    </xdr:from>
    <xdr:to>
      <xdr:col>61</xdr:col>
      <xdr:colOff>71438</xdr:colOff>
      <xdr:row>52</xdr:row>
      <xdr:rowOff>194468</xdr:rowOff>
    </xdr:to>
    <xdr:cxnSp macro="">
      <xdr:nvCxnSpPr>
        <xdr:cNvPr id="295" name="カギ線コネクタ 294"/>
        <xdr:cNvCxnSpPr>
          <a:endCxn id="351" idx="1"/>
        </xdr:cNvCxnSpPr>
      </xdr:nvCxnSpPr>
      <xdr:spPr>
        <a:xfrm>
          <a:off x="10014961" y="9079779"/>
          <a:ext cx="1324841" cy="489598"/>
        </a:xfrm>
        <a:prstGeom prst="bentConnector2">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47625</xdr:colOff>
      <xdr:row>59</xdr:row>
      <xdr:rowOff>25978</xdr:rowOff>
    </xdr:from>
    <xdr:to>
      <xdr:col>75</xdr:col>
      <xdr:colOff>2019</xdr:colOff>
      <xdr:row>69</xdr:row>
      <xdr:rowOff>114878</xdr:rowOff>
    </xdr:to>
    <xdr:cxnSp macro="">
      <xdr:nvCxnSpPr>
        <xdr:cNvPr id="314" name="カギ線コネクタ 313"/>
        <xdr:cNvCxnSpPr>
          <a:endCxn id="220" idx="0"/>
        </xdr:cNvCxnSpPr>
      </xdr:nvCxnSpPr>
      <xdr:spPr>
        <a:xfrm>
          <a:off x="10022898" y="10774796"/>
          <a:ext cx="3833666" cy="2051627"/>
        </a:xfrm>
        <a:prstGeom prst="bentConnector2">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8719</xdr:colOff>
      <xdr:row>41</xdr:row>
      <xdr:rowOff>75188</xdr:rowOff>
    </xdr:from>
    <xdr:to>
      <xdr:col>38</xdr:col>
      <xdr:colOff>87315</xdr:colOff>
      <xdr:row>54</xdr:row>
      <xdr:rowOff>19077</xdr:rowOff>
    </xdr:to>
    <xdr:cxnSp macro="">
      <xdr:nvCxnSpPr>
        <xdr:cNvPr id="319" name="カギ線コネクタ 318"/>
        <xdr:cNvCxnSpPr/>
      </xdr:nvCxnSpPr>
      <xdr:spPr>
        <a:xfrm rot="5400000">
          <a:off x="5081026" y="7760608"/>
          <a:ext cx="2495435" cy="1556414"/>
        </a:xfrm>
        <a:prstGeom prst="bentConnector3">
          <a:avLst>
            <a:gd name="adj1" fmla="val 933"/>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76200</xdr:colOff>
      <xdr:row>53</xdr:row>
      <xdr:rowOff>188912</xdr:rowOff>
    </xdr:from>
    <xdr:to>
      <xdr:col>30</xdr:col>
      <xdr:colOff>0</xdr:colOff>
      <xdr:row>53</xdr:row>
      <xdr:rowOff>190500</xdr:rowOff>
    </xdr:to>
    <xdr:cxnSp macro="">
      <xdr:nvCxnSpPr>
        <xdr:cNvPr id="320" name="カギ線コネクタ 319"/>
        <xdr:cNvCxnSpPr>
          <a:endCxn id="86" idx="3"/>
        </xdr:cNvCxnSpPr>
      </xdr:nvCxnSpPr>
      <xdr:spPr>
        <a:xfrm rot="10800000">
          <a:off x="4140200" y="9760094"/>
          <a:ext cx="1401618" cy="1588"/>
        </a:xfrm>
        <a:prstGeom prst="bentConnector3">
          <a:avLst>
            <a:gd name="adj1" fmla="val 50000"/>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47625</xdr:colOff>
      <xdr:row>39</xdr:row>
      <xdr:rowOff>127000</xdr:rowOff>
    </xdr:from>
    <xdr:to>
      <xdr:col>49</xdr:col>
      <xdr:colOff>15875</xdr:colOff>
      <xdr:row>41</xdr:row>
      <xdr:rowOff>18040</xdr:rowOff>
    </xdr:to>
    <xdr:sp macro="" textlink="">
      <xdr:nvSpPr>
        <xdr:cNvPr id="326"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7806170" y="6950364"/>
          <a:ext cx="1261341" cy="283585"/>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LAN</a:t>
          </a:r>
          <a:r>
            <a:rPr lang="ja-JP" altLang="en-US" sz="2000" b="0" i="0" u="none" strike="noStrike" baseline="0">
              <a:solidFill>
                <a:schemeClr val="bg1"/>
              </a:solidFill>
              <a:latin typeface="ＭＳ Ｐゴシック"/>
              <a:ea typeface="ＭＳ Ｐゴシック"/>
            </a:rPr>
            <a:t>ハブ</a:t>
          </a:r>
          <a:endParaRPr lang="en-US" altLang="ja-JP" sz="2000" b="0" i="0" u="none" strike="noStrike" baseline="0">
            <a:solidFill>
              <a:schemeClr val="bg1"/>
            </a:solidFill>
            <a:latin typeface="ＭＳ Ｐゴシック"/>
            <a:ea typeface="ＭＳ Ｐゴシック"/>
          </a:endParaRPr>
        </a:p>
      </xdr:txBody>
    </xdr:sp>
    <xdr:clientData/>
  </xdr:twoCellAnchor>
  <xdr:twoCellAnchor>
    <xdr:from>
      <xdr:col>33</xdr:col>
      <xdr:colOff>163512</xdr:colOff>
      <xdr:row>39</xdr:row>
      <xdr:rowOff>127001</xdr:rowOff>
    </xdr:from>
    <xdr:to>
      <xdr:col>38</xdr:col>
      <xdr:colOff>55563</xdr:colOff>
      <xdr:row>41</xdr:row>
      <xdr:rowOff>18040</xdr:rowOff>
    </xdr:to>
    <xdr:sp macro="" textlink="">
      <xdr:nvSpPr>
        <xdr:cNvPr id="328"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6259512" y="6950365"/>
          <a:ext cx="815687" cy="283584"/>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WiFi</a:t>
          </a:r>
        </a:p>
      </xdr:txBody>
    </xdr:sp>
    <xdr:clientData/>
  </xdr:twoCellAnchor>
  <xdr:twoCellAnchor>
    <xdr:from>
      <xdr:col>38</xdr:col>
      <xdr:colOff>55563</xdr:colOff>
      <xdr:row>40</xdr:row>
      <xdr:rowOff>73603</xdr:rowOff>
    </xdr:from>
    <xdr:to>
      <xdr:col>42</xdr:col>
      <xdr:colOff>47625</xdr:colOff>
      <xdr:row>40</xdr:row>
      <xdr:rowOff>73604</xdr:rowOff>
    </xdr:to>
    <xdr:cxnSp macro="">
      <xdr:nvCxnSpPr>
        <xdr:cNvPr id="330" name="カギ線コネクタ 329"/>
        <xdr:cNvCxnSpPr>
          <a:stCxn id="328" idx="3"/>
          <a:endCxn id="326" idx="1"/>
        </xdr:cNvCxnSpPr>
      </xdr:nvCxnSpPr>
      <xdr:spPr>
        <a:xfrm flipV="1">
          <a:off x="7075199" y="7093239"/>
          <a:ext cx="730971" cy="1"/>
        </a:xfrm>
        <a:prstGeom prst="bentConnector3">
          <a:avLst>
            <a:gd name="adj1" fmla="val 50000"/>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127000</xdr:colOff>
      <xdr:row>0</xdr:row>
      <xdr:rowOff>92982</xdr:rowOff>
    </xdr:from>
    <xdr:to>
      <xdr:col>58</xdr:col>
      <xdr:colOff>32886</xdr:colOff>
      <xdr:row>4</xdr:row>
      <xdr:rowOff>142874</xdr:rowOff>
    </xdr:to>
    <xdr:sp macro="" textlink="">
      <xdr:nvSpPr>
        <xdr:cNvPr id="346"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3211286" y="92982"/>
          <a:ext cx="7344457" cy="848178"/>
        </a:xfrm>
        <a:prstGeom prst="rect">
          <a:avLst/>
        </a:prstGeom>
        <a:noFill/>
        <a:ln w="9525">
          <a:noFill/>
          <a:miter lim="800000"/>
          <a:headEnd/>
          <a:tailEnd/>
        </a:ln>
      </xdr:spPr>
      <xdr:txBody>
        <a:bodyPr vertOverflow="clip" wrap="square" lIns="144000" tIns="0" rIns="0" bIns="0" anchor="ctr" upright="1"/>
        <a:lstStyle/>
        <a:p>
          <a:pPr algn="l" rtl="0">
            <a:defRPr sz="1000"/>
          </a:pPr>
          <a:r>
            <a:rPr lang="ja-JP" altLang="en-US" sz="2000" b="0" i="0" u="none" strike="noStrike" baseline="0">
              <a:solidFill>
                <a:srgbClr val="FF0000"/>
              </a:solidFill>
              <a:latin typeface="ＭＳ Ｐゴシック"/>
              <a:ea typeface="ＭＳ Ｐゴシック"/>
            </a:rPr>
            <a:t>赤色</a:t>
          </a:r>
          <a:r>
            <a:rPr lang="ja-JP" altLang="en-US" sz="2000" b="0" i="0" u="none" strike="noStrike" baseline="0">
              <a:solidFill>
                <a:sysClr val="windowText" lastClr="000000"/>
              </a:solidFill>
              <a:latin typeface="ＭＳ Ｐゴシック"/>
              <a:ea typeface="ＭＳ Ｐゴシック"/>
            </a:rPr>
            <a:t>の箇所が</a:t>
          </a:r>
          <a:r>
            <a:rPr lang="ja-JP" altLang="en-US" sz="2000" b="0" i="0" u="none" strike="noStrike" baseline="0">
              <a:solidFill>
                <a:srgbClr val="FF0000"/>
              </a:solidFill>
              <a:latin typeface="ＭＳ Ｐゴシック"/>
              <a:ea typeface="ＭＳ Ｐゴシック"/>
            </a:rPr>
            <a:t>新設の設備</a:t>
          </a:r>
          <a:r>
            <a:rPr lang="ja-JP" altLang="en-US" sz="2000" b="0" i="0" u="none" strike="noStrike" baseline="0">
              <a:solidFill>
                <a:sysClr val="windowText" lastClr="000000"/>
              </a:solidFill>
              <a:latin typeface="ＭＳ Ｐゴシック"/>
              <a:ea typeface="ＭＳ Ｐゴシック"/>
            </a:rPr>
            <a:t>と配線です</a:t>
          </a:r>
          <a:endParaRPr lang="en-US" altLang="ja-JP" sz="2000" b="0" i="0" u="none" strike="noStrike" baseline="0">
            <a:solidFill>
              <a:sysClr val="windowText" lastClr="000000"/>
            </a:solidFill>
            <a:latin typeface="ＭＳ Ｐゴシック"/>
            <a:ea typeface="ＭＳ Ｐゴシック"/>
          </a:endParaRPr>
        </a:p>
        <a:p>
          <a:pPr algn="l" rtl="0">
            <a:defRPr sz="1000"/>
          </a:pPr>
          <a:r>
            <a:rPr lang="ja-JP" altLang="en-US" sz="2000" b="0" i="0" u="none" strike="noStrike" baseline="0">
              <a:solidFill>
                <a:sysClr val="windowText" lastClr="000000"/>
              </a:solidFill>
              <a:latin typeface="ＭＳ Ｐゴシック"/>
              <a:ea typeface="ＭＳ Ｐゴシック"/>
            </a:rPr>
            <a:t>各</a:t>
          </a:r>
          <a:r>
            <a:rPr lang="en-US" altLang="ja-JP" sz="2000" b="0" i="0" u="none" strike="noStrike" baseline="0">
              <a:solidFill>
                <a:sysClr val="windowText" lastClr="000000"/>
              </a:solidFill>
              <a:latin typeface="ＭＳ Ｐゴシック"/>
              <a:ea typeface="ＭＳ Ｐゴシック"/>
            </a:rPr>
            <a:t>PC</a:t>
          </a:r>
          <a:r>
            <a:rPr lang="ja-JP" altLang="en-US" sz="2000" b="0" i="0" u="none" strike="noStrike" baseline="0">
              <a:solidFill>
                <a:sysClr val="windowText" lastClr="000000"/>
              </a:solidFill>
              <a:latin typeface="ＭＳ Ｐゴシック"/>
              <a:ea typeface="ＭＳ Ｐゴシック"/>
            </a:rPr>
            <a:t>には</a:t>
          </a:r>
          <a:r>
            <a:rPr lang="en-US" altLang="ja-JP" sz="2000" b="0" i="0" u="none" strike="noStrike" baseline="0">
              <a:solidFill>
                <a:sysClr val="windowText" lastClr="000000"/>
              </a:solidFill>
              <a:latin typeface="ＭＳ Ｐゴシック"/>
              <a:ea typeface="ＭＳ Ｐゴシック"/>
            </a:rPr>
            <a:t>QR</a:t>
          </a:r>
          <a:r>
            <a:rPr lang="ja-JP" altLang="en-US" sz="2000" b="0" i="0" u="none" strike="noStrike" baseline="0">
              <a:solidFill>
                <a:sysClr val="windowText" lastClr="000000"/>
              </a:solidFill>
              <a:latin typeface="ＭＳ Ｐゴシック"/>
              <a:ea typeface="ＭＳ Ｐゴシック"/>
            </a:rPr>
            <a:t>リーダーとインプットツールを接続します</a:t>
          </a:r>
          <a:endParaRPr lang="en-US" altLang="ja-JP" sz="2000" b="0" i="0" u="none" strike="noStrike" baseline="0">
            <a:solidFill>
              <a:sysClr val="windowText" lastClr="000000"/>
            </a:solidFill>
            <a:latin typeface="ＭＳ Ｐゴシック"/>
            <a:ea typeface="ＭＳ Ｐゴシック"/>
          </a:endParaRPr>
        </a:p>
        <a:p>
          <a:pPr algn="l" rtl="0">
            <a:defRPr sz="1000"/>
          </a:pPr>
          <a:r>
            <a:rPr lang="ja-JP" altLang="en-US" sz="2000" b="0" i="0" u="none" strike="noStrike" baseline="0">
              <a:solidFill>
                <a:sysClr val="windowText" lastClr="000000"/>
              </a:solidFill>
              <a:latin typeface="ＭＳ Ｐゴシック"/>
              <a:ea typeface="ＭＳ Ｐゴシック"/>
            </a:rPr>
            <a:t>その他レイアウトは</a:t>
          </a:r>
          <a:endParaRPr lang="en-US" altLang="ja-JP" sz="2000" b="0" i="0" u="none" strike="noStrike" baseline="0">
            <a:solidFill>
              <a:sysClr val="windowText" lastClr="000000"/>
            </a:solidFill>
            <a:latin typeface="ＭＳ Ｐゴシック"/>
            <a:ea typeface="ＭＳ Ｐゴシック"/>
          </a:endParaRPr>
        </a:p>
      </xdr:txBody>
    </xdr:sp>
    <xdr:clientData/>
  </xdr:twoCellAnchor>
  <xdr:twoCellAnchor>
    <xdr:from>
      <xdr:col>60</xdr:col>
      <xdr:colOff>51594</xdr:colOff>
      <xdr:row>52</xdr:row>
      <xdr:rowOff>194468</xdr:rowOff>
    </xdr:from>
    <xdr:to>
      <xdr:col>62</xdr:col>
      <xdr:colOff>91282</xdr:colOff>
      <xdr:row>55</xdr:row>
      <xdr:rowOff>170657</xdr:rowOff>
    </xdr:to>
    <xdr:sp macro="" textlink="">
      <xdr:nvSpPr>
        <xdr:cNvPr id="351"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rot="5400000">
          <a:off x="11057298" y="9647309"/>
          <a:ext cx="565007" cy="409143"/>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52</xdr:col>
      <xdr:colOff>134938</xdr:colOff>
      <xdr:row>59</xdr:row>
      <xdr:rowOff>121227</xdr:rowOff>
    </xdr:from>
    <xdr:to>
      <xdr:col>55</xdr:col>
      <xdr:colOff>158750</xdr:colOff>
      <xdr:row>61</xdr:row>
      <xdr:rowOff>127000</xdr:rowOff>
    </xdr:to>
    <xdr:sp macro="" textlink="">
      <xdr:nvSpPr>
        <xdr:cNvPr id="355"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9740756" y="10870045"/>
          <a:ext cx="577994" cy="398319"/>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73</xdr:col>
      <xdr:colOff>154781</xdr:colOff>
      <xdr:row>67</xdr:row>
      <xdr:rowOff>154783</xdr:rowOff>
    </xdr:from>
    <xdr:to>
      <xdr:col>76</xdr:col>
      <xdr:colOff>11907</xdr:colOff>
      <xdr:row>70</xdr:row>
      <xdr:rowOff>130971</xdr:rowOff>
    </xdr:to>
    <xdr:sp macro="" textlink="">
      <xdr:nvSpPr>
        <xdr:cNvPr id="365"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rot="5400000">
          <a:off x="13563023" y="12550632"/>
          <a:ext cx="565006" cy="411308"/>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56</xdr:col>
      <xdr:colOff>130969</xdr:colOff>
      <xdr:row>67</xdr:row>
      <xdr:rowOff>154785</xdr:rowOff>
    </xdr:from>
    <xdr:to>
      <xdr:col>58</xdr:col>
      <xdr:colOff>170657</xdr:colOff>
      <xdr:row>70</xdr:row>
      <xdr:rowOff>130973</xdr:rowOff>
    </xdr:to>
    <xdr:sp macro="" textlink="">
      <xdr:nvSpPr>
        <xdr:cNvPr id="367"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rot="5400000">
          <a:off x="10397765" y="12551716"/>
          <a:ext cx="565006" cy="409143"/>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66</xdr:col>
      <xdr:colOff>55562</xdr:colOff>
      <xdr:row>59</xdr:row>
      <xdr:rowOff>10103</xdr:rowOff>
    </xdr:from>
    <xdr:to>
      <xdr:col>66</xdr:col>
      <xdr:colOff>57581</xdr:colOff>
      <xdr:row>69</xdr:row>
      <xdr:rowOff>114878</xdr:rowOff>
    </xdr:to>
    <xdr:cxnSp macro="">
      <xdr:nvCxnSpPr>
        <xdr:cNvPr id="368" name="カギ線コネクタ 367"/>
        <xdr:cNvCxnSpPr/>
      </xdr:nvCxnSpPr>
      <xdr:spPr>
        <a:xfrm rot="16200000" flipH="1">
          <a:off x="11214821" y="11791662"/>
          <a:ext cx="2067502" cy="2019"/>
        </a:xfrm>
        <a:prstGeom prst="bentConnector3">
          <a:avLst>
            <a:gd name="adj1" fmla="val 50000"/>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142875</xdr:colOff>
      <xdr:row>59</xdr:row>
      <xdr:rowOff>10104</xdr:rowOff>
    </xdr:from>
    <xdr:to>
      <xdr:col>57</xdr:col>
      <xdr:colOff>144894</xdr:colOff>
      <xdr:row>69</xdr:row>
      <xdr:rowOff>114879</xdr:rowOff>
    </xdr:to>
    <xdr:cxnSp macro="">
      <xdr:nvCxnSpPr>
        <xdr:cNvPr id="370" name="カギ線コネクタ 369"/>
        <xdr:cNvCxnSpPr/>
      </xdr:nvCxnSpPr>
      <xdr:spPr>
        <a:xfrm rot="16200000" flipH="1">
          <a:off x="9639589" y="11791663"/>
          <a:ext cx="2067502" cy="2019"/>
        </a:xfrm>
        <a:prstGeom prst="bentConnector3">
          <a:avLst>
            <a:gd name="adj1" fmla="val 50000"/>
          </a:avLst>
        </a:prstGeom>
        <a:ln w="38100">
          <a:solidFill>
            <a:srgbClr val="FF00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154781</xdr:colOff>
      <xdr:row>51</xdr:row>
      <xdr:rowOff>146850</xdr:rowOff>
    </xdr:from>
    <xdr:to>
      <xdr:col>38</xdr:col>
      <xdr:colOff>11907</xdr:colOff>
      <xdr:row>54</xdr:row>
      <xdr:rowOff>125201</xdr:rowOff>
    </xdr:to>
    <xdr:sp macro="" textlink="">
      <xdr:nvSpPr>
        <xdr:cNvPr id="371"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rot="5400000">
          <a:off x="6542305" y="9403417"/>
          <a:ext cx="567170" cy="411307"/>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21</xdr:col>
      <xdr:colOff>134937</xdr:colOff>
      <xdr:row>52</xdr:row>
      <xdr:rowOff>182561</xdr:rowOff>
    </xdr:from>
    <xdr:to>
      <xdr:col>24</xdr:col>
      <xdr:colOff>158750</xdr:colOff>
      <xdr:row>54</xdr:row>
      <xdr:rowOff>190499</xdr:rowOff>
    </xdr:to>
    <xdr:sp macro="" textlink="">
      <xdr:nvSpPr>
        <xdr:cNvPr id="372"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a:off x="4014210" y="9557470"/>
          <a:ext cx="577995" cy="400484"/>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twoCellAnchor>
    <xdr:from>
      <xdr:col>65</xdr:col>
      <xdr:colOff>27781</xdr:colOff>
      <xdr:row>67</xdr:row>
      <xdr:rowOff>154784</xdr:rowOff>
    </xdr:from>
    <xdr:to>
      <xdr:col>67</xdr:col>
      <xdr:colOff>67469</xdr:colOff>
      <xdr:row>70</xdr:row>
      <xdr:rowOff>130972</xdr:rowOff>
    </xdr:to>
    <xdr:sp macro="" textlink="">
      <xdr:nvSpPr>
        <xdr:cNvPr id="366" name="Text Box 634">
          <a:extLst>
            <a:ext uri="{FF2B5EF4-FFF2-40B4-BE49-F238E27FC236}">
              <a16:creationId xmlns:a16="http://schemas.microsoft.com/office/drawing/2014/main" xmlns="" id="{944AADFF-6297-42E0-86BC-13F25330ABB6}"/>
            </a:ext>
          </a:extLst>
        </xdr:cNvPr>
        <xdr:cNvSpPr txBox="1">
          <a:spLocks noChangeArrowheads="1"/>
        </xdr:cNvSpPr>
      </xdr:nvSpPr>
      <xdr:spPr bwMode="auto">
        <a:xfrm rot="5400000">
          <a:off x="11957122" y="12551716"/>
          <a:ext cx="565006" cy="409142"/>
        </a:xfrm>
        <a:prstGeom prst="rect">
          <a:avLst/>
        </a:prstGeom>
        <a:solidFill>
          <a:srgbClr val="FF0000"/>
        </a:solidFill>
        <a:ln w="9525">
          <a:solidFill>
            <a:sysClr val="windowText" lastClr="000000"/>
          </a:solidFill>
          <a:miter lim="800000"/>
          <a:headEnd/>
          <a:tailEnd/>
        </a:ln>
      </xdr:spPr>
      <xdr:txBody>
        <a:bodyPr vertOverflow="clip" wrap="square" lIns="0" tIns="0" rIns="0" bIns="0" anchor="ctr" upright="1"/>
        <a:lstStyle/>
        <a:p>
          <a:pPr algn="ctr" rtl="0">
            <a:defRPr sz="1000"/>
          </a:pPr>
          <a:r>
            <a:rPr lang="en-US" altLang="ja-JP" sz="2000" b="0" i="0" u="none" strike="noStrike" baseline="0">
              <a:solidFill>
                <a:schemeClr val="bg1"/>
              </a:solidFill>
              <a:latin typeface="ＭＳ Ｐゴシック"/>
              <a:ea typeface="ＭＳ Ｐゴシック"/>
            </a:rPr>
            <a:t>PC</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444500</xdr:colOff>
      <xdr:row>52</xdr:row>
      <xdr:rowOff>44450</xdr:rowOff>
    </xdr:from>
    <xdr:to>
      <xdr:col>7</xdr:col>
      <xdr:colOff>152400</xdr:colOff>
      <xdr:row>57</xdr:row>
      <xdr:rowOff>114300</xdr:rowOff>
    </xdr:to>
    <xdr:grpSp>
      <xdr:nvGrpSpPr>
        <xdr:cNvPr id="4" name="グループ化 3"/>
        <xdr:cNvGrpSpPr/>
      </xdr:nvGrpSpPr>
      <xdr:grpSpPr>
        <a:xfrm>
          <a:off x="4659923" y="8680450"/>
          <a:ext cx="1085362" cy="900235"/>
          <a:chOff x="4451350" y="5778500"/>
          <a:chExt cx="1085850" cy="895350"/>
        </a:xfrm>
      </xdr:grpSpPr>
      <xdr:pic>
        <xdr:nvPicPr>
          <xdr:cNvPr id="2" name="Picture 1" descr="P1060458s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51350" y="5778500"/>
            <a:ext cx="1085850"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 name="楕円 2"/>
          <xdr:cNvSpPr/>
        </xdr:nvSpPr>
        <xdr:spPr>
          <a:xfrm>
            <a:off x="4911090" y="5939790"/>
            <a:ext cx="478739" cy="44196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444500</xdr:colOff>
      <xdr:row>52</xdr:row>
      <xdr:rowOff>44450</xdr:rowOff>
    </xdr:from>
    <xdr:to>
      <xdr:col>7</xdr:col>
      <xdr:colOff>152400</xdr:colOff>
      <xdr:row>57</xdr:row>
      <xdr:rowOff>114300</xdr:rowOff>
    </xdr:to>
    <xdr:grpSp>
      <xdr:nvGrpSpPr>
        <xdr:cNvPr id="2" name="グループ化 1"/>
        <xdr:cNvGrpSpPr/>
      </xdr:nvGrpSpPr>
      <xdr:grpSpPr>
        <a:xfrm>
          <a:off x="4762500" y="8658363"/>
          <a:ext cx="1088335" cy="898111"/>
          <a:chOff x="4451350" y="5778500"/>
          <a:chExt cx="1085850" cy="895350"/>
        </a:xfrm>
      </xdr:grpSpPr>
      <xdr:pic>
        <xdr:nvPicPr>
          <xdr:cNvPr id="3" name="Picture 1" descr="P1060458s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51350" y="5778500"/>
            <a:ext cx="1085850"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 name="楕円 2"/>
          <xdr:cNvSpPr/>
        </xdr:nvSpPr>
        <xdr:spPr>
          <a:xfrm>
            <a:off x="4911090" y="5939790"/>
            <a:ext cx="478739" cy="44196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0</xdr:colOff>
      <xdr:row>41</xdr:row>
      <xdr:rowOff>43622</xdr:rowOff>
    </xdr:from>
    <xdr:ext cx="3733972" cy="183384"/>
    <xdr:sp macro="" textlink="">
      <xdr:nvSpPr>
        <xdr:cNvPr id="52" name="テキスト ボックス 51"/>
        <xdr:cNvSpPr txBox="1"/>
      </xdr:nvSpPr>
      <xdr:spPr>
        <a:xfrm>
          <a:off x="0" y="8362122"/>
          <a:ext cx="3733972"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※3 </a:t>
          </a:r>
          <a:r>
            <a:rPr kumimoji="1" lang="ja-JP" altLang="en-US" sz="1100"/>
            <a:t>「カンバン」はトヨタ生産方式の「カンバン」を示します</a:t>
          </a:r>
        </a:p>
      </xdr:txBody>
    </xdr:sp>
    <xdr:clientData/>
  </xdr:oneCellAnchor>
  <xdr:oneCellAnchor>
    <xdr:from>
      <xdr:col>1</xdr:col>
      <xdr:colOff>0</xdr:colOff>
      <xdr:row>38</xdr:row>
      <xdr:rowOff>109333</xdr:rowOff>
    </xdr:from>
    <xdr:ext cx="8178800" cy="183384"/>
    <xdr:sp macro="" textlink="">
      <xdr:nvSpPr>
        <xdr:cNvPr id="61" name="テキスト ボックス 60"/>
        <xdr:cNvSpPr txBox="1"/>
      </xdr:nvSpPr>
      <xdr:spPr>
        <a:xfrm>
          <a:off x="0" y="7894433"/>
          <a:ext cx="8178800"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※1 </a:t>
          </a:r>
          <a:r>
            <a:rPr kumimoji="1" lang="ja-JP" altLang="en-US" sz="1100"/>
            <a:t>規格計測器</a:t>
          </a:r>
          <a:r>
            <a:rPr kumimoji="1" lang="en-US" altLang="ja-JP" sz="1100"/>
            <a:t>(</a:t>
          </a:r>
          <a:r>
            <a:rPr kumimoji="1" lang="ja-JP" altLang="en-US" sz="1100"/>
            <a:t>デジタルノギス</a:t>
          </a:r>
          <a:r>
            <a:rPr kumimoji="1" lang="en-US" altLang="ja-JP" sz="1100"/>
            <a:t>)</a:t>
          </a:r>
          <a:r>
            <a:rPr kumimoji="1" lang="ja-JP" altLang="en-US" sz="1100"/>
            <a:t>は端子を挟む事で厚みを</a:t>
          </a:r>
          <a:r>
            <a:rPr kumimoji="1" lang="en-US" altLang="ja-JP" sz="1100"/>
            <a:t>0.001</a:t>
          </a:r>
          <a:r>
            <a:rPr kumimoji="1" lang="ja-JP" altLang="en-US" sz="1100"/>
            <a:t>㎜単位で計測して良品</a:t>
          </a:r>
          <a:r>
            <a:rPr kumimoji="1" lang="en-US" altLang="ja-JP" sz="1100"/>
            <a:t>/</a:t>
          </a:r>
          <a:r>
            <a:rPr kumimoji="1" lang="ja-JP" altLang="en-US" sz="1100"/>
            <a:t>不良品を調べる器具です</a:t>
          </a:r>
          <a:endParaRPr kumimoji="1" lang="en-US" altLang="ja-JP" sz="1100"/>
        </a:p>
      </xdr:txBody>
    </xdr:sp>
    <xdr:clientData/>
  </xdr:oneCellAnchor>
  <xdr:oneCellAnchor>
    <xdr:from>
      <xdr:col>1</xdr:col>
      <xdr:colOff>0</xdr:colOff>
      <xdr:row>39</xdr:row>
      <xdr:rowOff>153782</xdr:rowOff>
    </xdr:from>
    <xdr:ext cx="4842186" cy="183384"/>
    <xdr:sp macro="" textlink="">
      <xdr:nvSpPr>
        <xdr:cNvPr id="68" name="テキスト ボックス 67"/>
        <xdr:cNvSpPr txBox="1"/>
      </xdr:nvSpPr>
      <xdr:spPr>
        <a:xfrm>
          <a:off x="0" y="8116682"/>
          <a:ext cx="4842186"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※2 </a:t>
          </a:r>
          <a:r>
            <a:rPr kumimoji="1" lang="ja-JP" altLang="en-US" sz="1100"/>
            <a:t>端子ロット№はユニークな端子製造シリアル№です</a:t>
          </a:r>
        </a:p>
      </xdr:txBody>
    </xdr:sp>
    <xdr:clientData/>
  </xdr:oneCellAnchor>
  <xdr:oneCellAnchor>
    <xdr:from>
      <xdr:col>1</xdr:col>
      <xdr:colOff>1993900</xdr:colOff>
      <xdr:row>15</xdr:row>
      <xdr:rowOff>189672</xdr:rowOff>
    </xdr:from>
    <xdr:ext cx="501650" cy="183384"/>
    <xdr:sp macro="" textlink="">
      <xdr:nvSpPr>
        <xdr:cNvPr id="69" name="テキスト ボックス 68"/>
        <xdr:cNvSpPr txBox="1"/>
      </xdr:nvSpPr>
      <xdr:spPr>
        <a:xfrm>
          <a:off x="1993900" y="3523422"/>
          <a:ext cx="501650"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※3 </a:t>
          </a:r>
          <a:endParaRPr kumimoji="1" lang="ja-JP" altLang="en-US" sz="1100">
            <a:solidFill>
              <a:srgbClr val="FF0000"/>
            </a:solidFill>
          </a:endParaRPr>
        </a:p>
      </xdr:txBody>
    </xdr:sp>
    <xdr:clientData/>
  </xdr:oneCellAnchor>
  <xdr:oneCellAnchor>
    <xdr:from>
      <xdr:col>1</xdr:col>
      <xdr:colOff>876300</xdr:colOff>
      <xdr:row>9</xdr:row>
      <xdr:rowOff>221422</xdr:rowOff>
    </xdr:from>
    <xdr:ext cx="501650" cy="183384"/>
    <xdr:sp macro="" textlink="">
      <xdr:nvSpPr>
        <xdr:cNvPr id="71" name="テキスト ボックス 70"/>
        <xdr:cNvSpPr txBox="1"/>
      </xdr:nvSpPr>
      <xdr:spPr>
        <a:xfrm>
          <a:off x="876300" y="2145472"/>
          <a:ext cx="501650"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※1</a:t>
          </a:r>
          <a:endParaRPr kumimoji="1" lang="ja-JP" altLang="en-US" sz="1100">
            <a:solidFill>
              <a:srgbClr val="FF0000"/>
            </a:solidFill>
          </a:endParaRPr>
        </a:p>
      </xdr:txBody>
    </xdr:sp>
    <xdr:clientData/>
  </xdr:oneCellAnchor>
  <xdr:oneCellAnchor>
    <xdr:from>
      <xdr:col>1</xdr:col>
      <xdr:colOff>869950</xdr:colOff>
      <xdr:row>11</xdr:row>
      <xdr:rowOff>215072</xdr:rowOff>
    </xdr:from>
    <xdr:ext cx="501650" cy="183384"/>
    <xdr:sp macro="" textlink="">
      <xdr:nvSpPr>
        <xdr:cNvPr id="72" name="テキスト ボックス 71"/>
        <xdr:cNvSpPr txBox="1"/>
      </xdr:nvSpPr>
      <xdr:spPr>
        <a:xfrm>
          <a:off x="869950" y="2374072"/>
          <a:ext cx="501650"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※2</a:t>
          </a:r>
          <a:endParaRPr kumimoji="1" lang="ja-JP" altLang="en-US" sz="1100">
            <a:solidFill>
              <a:srgbClr val="FF0000"/>
            </a:solidFill>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53731</xdr:colOff>
      <xdr:row>48</xdr:row>
      <xdr:rowOff>13827</xdr:rowOff>
    </xdr:from>
    <xdr:ext cx="1782884" cy="183384"/>
    <xdr:sp macro="" textlink="">
      <xdr:nvSpPr>
        <xdr:cNvPr id="9" name="テキスト ボックス 8"/>
        <xdr:cNvSpPr txBox="1"/>
      </xdr:nvSpPr>
      <xdr:spPr>
        <a:xfrm>
          <a:off x="53731" y="8083212"/>
          <a:ext cx="178288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※2 </a:t>
          </a:r>
          <a:r>
            <a:rPr kumimoji="1" lang="ja-JP" altLang="en-US" sz="1100">
              <a:solidFill>
                <a:srgbClr val="FF0000"/>
              </a:solidFill>
            </a:rPr>
            <a:t>作業条件</a:t>
          </a:r>
        </a:p>
      </xdr:txBody>
    </xdr:sp>
    <xdr:clientData/>
  </xdr:oneCellAnchor>
  <xdr:twoCellAnchor>
    <xdr:from>
      <xdr:col>1</xdr:col>
      <xdr:colOff>3160346</xdr:colOff>
      <xdr:row>12</xdr:row>
      <xdr:rowOff>141655</xdr:rowOff>
    </xdr:from>
    <xdr:to>
      <xdr:col>1</xdr:col>
      <xdr:colOff>3389923</xdr:colOff>
      <xdr:row>14</xdr:row>
      <xdr:rowOff>151423</xdr:rowOff>
    </xdr:to>
    <xdr:sp macro="" textlink="">
      <xdr:nvSpPr>
        <xdr:cNvPr id="10" name="右大かっこ 9"/>
        <xdr:cNvSpPr/>
      </xdr:nvSpPr>
      <xdr:spPr>
        <a:xfrm flipV="1">
          <a:off x="3238500" y="2818424"/>
          <a:ext cx="229577" cy="478691"/>
        </a:xfrm>
        <a:prstGeom prst="rightBracket">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xdr:col>
      <xdr:colOff>2129691</xdr:colOff>
      <xdr:row>11</xdr:row>
      <xdr:rowOff>14653</xdr:rowOff>
    </xdr:from>
    <xdr:to>
      <xdr:col>1</xdr:col>
      <xdr:colOff>3126152</xdr:colOff>
      <xdr:row>12</xdr:row>
      <xdr:rowOff>112346</xdr:rowOff>
    </xdr:to>
    <xdr:sp macro="" textlink="">
      <xdr:nvSpPr>
        <xdr:cNvPr id="11" name="四角形吹き出し 10"/>
        <xdr:cNvSpPr/>
      </xdr:nvSpPr>
      <xdr:spPr>
        <a:xfrm>
          <a:off x="2207845" y="2456961"/>
          <a:ext cx="996461" cy="332154"/>
        </a:xfrm>
        <a:prstGeom prst="wedgeRectCallout">
          <a:avLst>
            <a:gd name="adj1" fmla="val 56447"/>
            <a:gd name="adj2" fmla="val 4044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en-US" altLang="ja-JP" sz="900">
              <a:solidFill>
                <a:sysClr val="windowText" lastClr="000000"/>
              </a:solidFill>
            </a:rPr>
            <a:t>4</a:t>
          </a:r>
          <a:r>
            <a:rPr kumimoji="1" lang="ja-JP" altLang="en-US" sz="900">
              <a:solidFill>
                <a:sysClr val="windowText" lastClr="000000"/>
              </a:solidFill>
            </a:rPr>
            <a:t>箇所が対象の為</a:t>
          </a:r>
          <a:endParaRPr kumimoji="1" lang="en-US" altLang="ja-JP" sz="900">
            <a:solidFill>
              <a:sysClr val="windowText" lastClr="000000"/>
            </a:solidFill>
          </a:endParaRPr>
        </a:p>
        <a:p>
          <a:pPr algn="ctr"/>
          <a:r>
            <a:rPr kumimoji="1" lang="en-US" altLang="ja-JP" sz="900">
              <a:solidFill>
                <a:sysClr val="windowText" lastClr="000000"/>
              </a:solidFill>
            </a:rPr>
            <a:t>4</a:t>
          </a:r>
          <a:r>
            <a:rPr kumimoji="1" lang="ja-JP" altLang="en-US" sz="900">
              <a:solidFill>
                <a:sysClr val="windowText" lastClr="000000"/>
              </a:solidFill>
            </a:rPr>
            <a:t>回繰り返す</a:t>
          </a:r>
        </a:p>
      </xdr:txBody>
    </xdr:sp>
    <xdr:clientData/>
  </xdr:twoCellAnchor>
  <xdr:twoCellAnchor>
    <xdr:from>
      <xdr:col>1</xdr:col>
      <xdr:colOff>3160346</xdr:colOff>
      <xdr:row>18</xdr:row>
      <xdr:rowOff>141655</xdr:rowOff>
    </xdr:from>
    <xdr:to>
      <xdr:col>1</xdr:col>
      <xdr:colOff>3389923</xdr:colOff>
      <xdr:row>20</xdr:row>
      <xdr:rowOff>151423</xdr:rowOff>
    </xdr:to>
    <xdr:sp macro="" textlink="">
      <xdr:nvSpPr>
        <xdr:cNvPr id="12" name="右大かっこ 11"/>
        <xdr:cNvSpPr/>
      </xdr:nvSpPr>
      <xdr:spPr>
        <a:xfrm flipV="1">
          <a:off x="3238500" y="2818424"/>
          <a:ext cx="229577" cy="478691"/>
        </a:xfrm>
        <a:prstGeom prst="rightBracket">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xdr:col>
      <xdr:colOff>2129691</xdr:colOff>
      <xdr:row>17</xdr:row>
      <xdr:rowOff>14653</xdr:rowOff>
    </xdr:from>
    <xdr:to>
      <xdr:col>1</xdr:col>
      <xdr:colOff>3126152</xdr:colOff>
      <xdr:row>18</xdr:row>
      <xdr:rowOff>112346</xdr:rowOff>
    </xdr:to>
    <xdr:sp macro="" textlink="">
      <xdr:nvSpPr>
        <xdr:cNvPr id="13" name="四角形吹き出し 12"/>
        <xdr:cNvSpPr/>
      </xdr:nvSpPr>
      <xdr:spPr>
        <a:xfrm>
          <a:off x="2207845" y="2456961"/>
          <a:ext cx="996461" cy="332154"/>
        </a:xfrm>
        <a:prstGeom prst="wedgeRectCallout">
          <a:avLst>
            <a:gd name="adj1" fmla="val 56447"/>
            <a:gd name="adj2" fmla="val 4044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en-US" altLang="ja-JP" sz="900">
              <a:solidFill>
                <a:sysClr val="windowText" lastClr="000000"/>
              </a:solidFill>
            </a:rPr>
            <a:t>4</a:t>
          </a:r>
          <a:r>
            <a:rPr kumimoji="1" lang="ja-JP" altLang="en-US" sz="900">
              <a:solidFill>
                <a:sysClr val="windowText" lastClr="000000"/>
              </a:solidFill>
            </a:rPr>
            <a:t>箇所が対象の為</a:t>
          </a:r>
          <a:endParaRPr kumimoji="1" lang="en-US" altLang="ja-JP" sz="900">
            <a:solidFill>
              <a:sysClr val="windowText" lastClr="000000"/>
            </a:solidFill>
          </a:endParaRPr>
        </a:p>
        <a:p>
          <a:pPr algn="ctr"/>
          <a:r>
            <a:rPr kumimoji="1" lang="en-US" altLang="ja-JP" sz="900">
              <a:solidFill>
                <a:sysClr val="windowText" lastClr="000000"/>
              </a:solidFill>
            </a:rPr>
            <a:t>4</a:t>
          </a:r>
          <a:r>
            <a:rPr kumimoji="1" lang="ja-JP" altLang="en-US" sz="900">
              <a:solidFill>
                <a:sysClr val="windowText" lastClr="000000"/>
              </a:solidFill>
            </a:rPr>
            <a:t>回繰り返す</a:t>
          </a:r>
        </a:p>
      </xdr:txBody>
    </xdr:sp>
    <xdr:clientData/>
  </xdr:twoCellAnchor>
  <xdr:twoCellAnchor>
    <xdr:from>
      <xdr:col>3</xdr:col>
      <xdr:colOff>3160346</xdr:colOff>
      <xdr:row>12</xdr:row>
      <xdr:rowOff>141655</xdr:rowOff>
    </xdr:from>
    <xdr:to>
      <xdr:col>3</xdr:col>
      <xdr:colOff>3389923</xdr:colOff>
      <xdr:row>14</xdr:row>
      <xdr:rowOff>151423</xdr:rowOff>
    </xdr:to>
    <xdr:sp macro="" textlink="">
      <xdr:nvSpPr>
        <xdr:cNvPr id="14" name="右大かっこ 13"/>
        <xdr:cNvSpPr/>
      </xdr:nvSpPr>
      <xdr:spPr>
        <a:xfrm flipV="1">
          <a:off x="3238500" y="2818424"/>
          <a:ext cx="229577" cy="478691"/>
        </a:xfrm>
        <a:prstGeom prst="rightBracket">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2129691</xdr:colOff>
      <xdr:row>11</xdr:row>
      <xdr:rowOff>14653</xdr:rowOff>
    </xdr:from>
    <xdr:to>
      <xdr:col>3</xdr:col>
      <xdr:colOff>3126152</xdr:colOff>
      <xdr:row>12</xdr:row>
      <xdr:rowOff>112346</xdr:rowOff>
    </xdr:to>
    <xdr:sp macro="" textlink="">
      <xdr:nvSpPr>
        <xdr:cNvPr id="15" name="四角形吹き出し 14"/>
        <xdr:cNvSpPr/>
      </xdr:nvSpPr>
      <xdr:spPr>
        <a:xfrm>
          <a:off x="2207845" y="2456961"/>
          <a:ext cx="996461" cy="332154"/>
        </a:xfrm>
        <a:prstGeom prst="wedgeRectCallout">
          <a:avLst>
            <a:gd name="adj1" fmla="val 56447"/>
            <a:gd name="adj2" fmla="val 4044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en-US" altLang="ja-JP" sz="900">
              <a:solidFill>
                <a:sysClr val="windowText" lastClr="000000"/>
              </a:solidFill>
            </a:rPr>
            <a:t>4</a:t>
          </a:r>
          <a:r>
            <a:rPr kumimoji="1" lang="ja-JP" altLang="en-US" sz="900">
              <a:solidFill>
                <a:sysClr val="windowText" lastClr="000000"/>
              </a:solidFill>
            </a:rPr>
            <a:t>箇所が対象の為</a:t>
          </a:r>
          <a:endParaRPr kumimoji="1" lang="en-US" altLang="ja-JP" sz="900">
            <a:solidFill>
              <a:sysClr val="windowText" lastClr="000000"/>
            </a:solidFill>
          </a:endParaRPr>
        </a:p>
        <a:p>
          <a:pPr algn="ctr"/>
          <a:r>
            <a:rPr kumimoji="1" lang="en-US" altLang="ja-JP" sz="900">
              <a:solidFill>
                <a:sysClr val="windowText" lastClr="000000"/>
              </a:solidFill>
            </a:rPr>
            <a:t>4</a:t>
          </a:r>
          <a:r>
            <a:rPr kumimoji="1" lang="ja-JP" altLang="en-US" sz="900">
              <a:solidFill>
                <a:sysClr val="windowText" lastClr="000000"/>
              </a:solidFill>
            </a:rPr>
            <a:t>回繰り返す</a:t>
          </a:r>
        </a:p>
      </xdr:txBody>
    </xdr:sp>
    <xdr:clientData/>
  </xdr:twoCellAnchor>
  <xdr:oneCellAnchor>
    <xdr:from>
      <xdr:col>1</xdr:col>
      <xdr:colOff>1406770</xdr:colOff>
      <xdr:row>8</xdr:row>
      <xdr:rowOff>218980</xdr:rowOff>
    </xdr:from>
    <xdr:ext cx="576384" cy="183384"/>
    <xdr:sp macro="" textlink="">
      <xdr:nvSpPr>
        <xdr:cNvPr id="17" name="テキスト ボックス 16"/>
        <xdr:cNvSpPr txBox="1"/>
      </xdr:nvSpPr>
      <xdr:spPr>
        <a:xfrm>
          <a:off x="1484924" y="1957903"/>
          <a:ext cx="57638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※2</a:t>
          </a:r>
          <a:endParaRPr kumimoji="1" lang="ja-JP" altLang="en-US" sz="1100">
            <a:solidFill>
              <a:srgbClr val="FF0000"/>
            </a:solidFill>
          </a:endParaRPr>
        </a:p>
      </xdr:txBody>
    </xdr:sp>
    <xdr:clientData/>
  </xdr:oneCellAnchor>
  <xdr:twoCellAnchor>
    <xdr:from>
      <xdr:col>3</xdr:col>
      <xdr:colOff>3160346</xdr:colOff>
      <xdr:row>18</xdr:row>
      <xdr:rowOff>141655</xdr:rowOff>
    </xdr:from>
    <xdr:to>
      <xdr:col>3</xdr:col>
      <xdr:colOff>3389923</xdr:colOff>
      <xdr:row>20</xdr:row>
      <xdr:rowOff>151423</xdr:rowOff>
    </xdr:to>
    <xdr:sp macro="" textlink="">
      <xdr:nvSpPr>
        <xdr:cNvPr id="18" name="右大かっこ 17"/>
        <xdr:cNvSpPr/>
      </xdr:nvSpPr>
      <xdr:spPr>
        <a:xfrm flipV="1">
          <a:off x="7024077" y="2818424"/>
          <a:ext cx="229577" cy="478691"/>
        </a:xfrm>
        <a:prstGeom prst="rightBracket">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2129691</xdr:colOff>
      <xdr:row>17</xdr:row>
      <xdr:rowOff>14653</xdr:rowOff>
    </xdr:from>
    <xdr:to>
      <xdr:col>3</xdr:col>
      <xdr:colOff>3126152</xdr:colOff>
      <xdr:row>18</xdr:row>
      <xdr:rowOff>112346</xdr:rowOff>
    </xdr:to>
    <xdr:sp macro="" textlink="">
      <xdr:nvSpPr>
        <xdr:cNvPr id="19" name="四角形吹き出し 18"/>
        <xdr:cNvSpPr/>
      </xdr:nvSpPr>
      <xdr:spPr>
        <a:xfrm>
          <a:off x="5993422" y="2456961"/>
          <a:ext cx="996461" cy="332154"/>
        </a:xfrm>
        <a:prstGeom prst="wedgeRectCallout">
          <a:avLst>
            <a:gd name="adj1" fmla="val 56447"/>
            <a:gd name="adj2" fmla="val 40441"/>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en-US" altLang="ja-JP" sz="900">
              <a:solidFill>
                <a:sysClr val="windowText" lastClr="000000"/>
              </a:solidFill>
            </a:rPr>
            <a:t>4</a:t>
          </a:r>
          <a:r>
            <a:rPr kumimoji="1" lang="ja-JP" altLang="en-US" sz="900">
              <a:solidFill>
                <a:sysClr val="windowText" lastClr="000000"/>
              </a:solidFill>
            </a:rPr>
            <a:t>箇所が対象の為</a:t>
          </a:r>
          <a:endParaRPr kumimoji="1" lang="en-US" altLang="ja-JP" sz="900">
            <a:solidFill>
              <a:sysClr val="windowText" lastClr="000000"/>
            </a:solidFill>
          </a:endParaRPr>
        </a:p>
        <a:p>
          <a:pPr algn="ctr"/>
          <a:r>
            <a:rPr kumimoji="1" lang="en-US" altLang="ja-JP" sz="900">
              <a:solidFill>
                <a:sysClr val="windowText" lastClr="000000"/>
              </a:solidFill>
            </a:rPr>
            <a:t>4</a:t>
          </a:r>
          <a:r>
            <a:rPr kumimoji="1" lang="ja-JP" altLang="en-US" sz="900">
              <a:solidFill>
                <a:sysClr val="windowText" lastClr="000000"/>
              </a:solidFill>
            </a:rPr>
            <a:t>回繰り返す</a:t>
          </a:r>
        </a:p>
      </xdr:txBody>
    </xdr:sp>
    <xdr:clientData/>
  </xdr:twoCellAnchor>
  <xdr:twoCellAnchor>
    <xdr:from>
      <xdr:col>1</xdr:col>
      <xdr:colOff>2461846</xdr:colOff>
      <xdr:row>33</xdr:row>
      <xdr:rowOff>107460</xdr:rowOff>
    </xdr:from>
    <xdr:to>
      <xdr:col>1</xdr:col>
      <xdr:colOff>3536459</xdr:colOff>
      <xdr:row>35</xdr:row>
      <xdr:rowOff>107462</xdr:rowOff>
    </xdr:to>
    <xdr:sp macro="" textlink="">
      <xdr:nvSpPr>
        <xdr:cNvPr id="20" name="四角形吹き出し 19"/>
        <xdr:cNvSpPr/>
      </xdr:nvSpPr>
      <xdr:spPr>
        <a:xfrm>
          <a:off x="2540000" y="7121768"/>
          <a:ext cx="1074613" cy="351694"/>
        </a:xfrm>
        <a:prstGeom prst="wedgeRectCallout">
          <a:avLst>
            <a:gd name="adj1" fmla="val -37893"/>
            <a:gd name="adj2" fmla="val -75460"/>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ja-JP" altLang="en-US" sz="900">
              <a:solidFill>
                <a:srgbClr val="FF0000"/>
              </a:solidFill>
            </a:rPr>
            <a:t>人間による確認の為</a:t>
          </a:r>
          <a:endParaRPr kumimoji="1" lang="en-US" altLang="ja-JP" sz="900">
            <a:solidFill>
              <a:srgbClr val="FF0000"/>
            </a:solidFill>
          </a:endParaRPr>
        </a:p>
        <a:p>
          <a:pPr algn="ctr"/>
          <a:r>
            <a:rPr kumimoji="1" lang="ja-JP" altLang="en-US" sz="900">
              <a:solidFill>
                <a:srgbClr val="FF0000"/>
              </a:solidFill>
            </a:rPr>
            <a:t>チェックミスの可能性</a:t>
          </a:r>
          <a:endParaRPr kumimoji="1" lang="en-US" altLang="ja-JP" sz="900">
            <a:solidFill>
              <a:srgbClr val="FF0000"/>
            </a:solidFill>
          </a:endParaRPr>
        </a:p>
      </xdr:txBody>
    </xdr:sp>
    <xdr:clientData/>
  </xdr:twoCellAnchor>
  <xdr:twoCellAnchor>
    <xdr:from>
      <xdr:col>1</xdr:col>
      <xdr:colOff>810846</xdr:colOff>
      <xdr:row>33</xdr:row>
      <xdr:rowOff>107460</xdr:rowOff>
    </xdr:from>
    <xdr:to>
      <xdr:col>1</xdr:col>
      <xdr:colOff>1944077</xdr:colOff>
      <xdr:row>35</xdr:row>
      <xdr:rowOff>107462</xdr:rowOff>
    </xdr:to>
    <xdr:sp macro="" textlink="">
      <xdr:nvSpPr>
        <xdr:cNvPr id="22" name="四角形吹き出し 21"/>
        <xdr:cNvSpPr/>
      </xdr:nvSpPr>
      <xdr:spPr>
        <a:xfrm>
          <a:off x="889000" y="7121768"/>
          <a:ext cx="1133231" cy="351694"/>
        </a:xfrm>
        <a:prstGeom prst="wedgeRectCallout">
          <a:avLst>
            <a:gd name="adj1" fmla="val -62556"/>
            <a:gd name="adj2" fmla="val -12960"/>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kumimoji="1" lang="ja-JP" altLang="en-US" sz="900">
              <a:solidFill>
                <a:srgbClr val="FF0000"/>
              </a:solidFill>
            </a:rPr>
            <a:t>出荷ミスがあった場合</a:t>
          </a:r>
          <a:endParaRPr kumimoji="1" lang="en-US" altLang="ja-JP" sz="900">
            <a:solidFill>
              <a:srgbClr val="FF0000"/>
            </a:solidFill>
          </a:endParaRPr>
        </a:p>
        <a:p>
          <a:pPr algn="ctr"/>
          <a:r>
            <a:rPr kumimoji="1" lang="ja-JP" altLang="en-US" sz="900">
              <a:solidFill>
                <a:srgbClr val="FF0000"/>
              </a:solidFill>
            </a:rPr>
            <a:t>再配送</a:t>
          </a:r>
          <a:endParaRPr kumimoji="1" lang="en-US" altLang="ja-JP" sz="900">
            <a:solidFill>
              <a:srgbClr val="FF0000"/>
            </a:solidFill>
          </a:endParaRPr>
        </a:p>
      </xdr:txBody>
    </xdr:sp>
    <xdr:clientData/>
  </xdr:twoCellAnchor>
  <xdr:twoCellAnchor editAs="oneCell">
    <xdr:from>
      <xdr:col>1</xdr:col>
      <xdr:colOff>280915</xdr:colOff>
      <xdr:row>41</xdr:row>
      <xdr:rowOff>92807</xdr:rowOff>
    </xdr:from>
    <xdr:to>
      <xdr:col>1</xdr:col>
      <xdr:colOff>1462015</xdr:colOff>
      <xdr:row>46</xdr:row>
      <xdr:rowOff>159750</xdr:rowOff>
    </xdr:to>
    <xdr:pic>
      <xdr:nvPicPr>
        <xdr:cNvPr id="25" name="図 2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5363" y="8628083"/>
          <a:ext cx="1181100" cy="964701"/>
        </a:xfrm>
        <a:prstGeom prst="rect">
          <a:avLst/>
        </a:prstGeom>
      </xdr:spPr>
    </xdr:pic>
    <xdr:clientData/>
  </xdr:twoCellAnchor>
  <xdr:oneCellAnchor>
    <xdr:from>
      <xdr:col>1</xdr:col>
      <xdr:colOff>258548</xdr:colOff>
      <xdr:row>46</xdr:row>
      <xdr:rowOff>148808</xdr:rowOff>
    </xdr:from>
    <xdr:ext cx="2127738" cy="133370"/>
    <xdr:sp macro="" textlink="">
      <xdr:nvSpPr>
        <xdr:cNvPr id="26" name="テキスト ボックス 25"/>
        <xdr:cNvSpPr txBox="1"/>
      </xdr:nvSpPr>
      <xdr:spPr>
        <a:xfrm>
          <a:off x="332996" y="9581842"/>
          <a:ext cx="2127738" cy="13337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ja-JP" altLang="en-US" sz="800">
              <a:solidFill>
                <a:sysClr val="windowText" lastClr="000000"/>
              </a:solidFill>
              <a:effectLst>
                <a:glow rad="152400">
                  <a:schemeClr val="bg1"/>
                </a:glow>
              </a:effectLst>
            </a:rPr>
            <a:t>端子を圧着された電線の図</a:t>
          </a:r>
        </a:p>
      </xdr:txBody>
    </xdr:sp>
    <xdr:clientData/>
  </xdr:oneCellAnchor>
  <xdr:oneCellAnchor>
    <xdr:from>
      <xdr:col>0</xdr:col>
      <xdr:colOff>1</xdr:colOff>
      <xdr:row>3</xdr:row>
      <xdr:rowOff>13826</xdr:rowOff>
    </xdr:from>
    <xdr:ext cx="576384" cy="183384"/>
    <xdr:sp macro="" textlink="">
      <xdr:nvSpPr>
        <xdr:cNvPr id="27" name="テキスト ボックス 26"/>
        <xdr:cNvSpPr txBox="1"/>
      </xdr:nvSpPr>
      <xdr:spPr>
        <a:xfrm>
          <a:off x="1" y="697672"/>
          <a:ext cx="57638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※1</a:t>
          </a:r>
          <a:endParaRPr kumimoji="1" lang="ja-JP" altLang="en-US" sz="1100">
            <a:solidFill>
              <a:srgbClr val="FF0000"/>
            </a:solidFill>
          </a:endParaRPr>
        </a:p>
      </xdr:txBody>
    </xdr:sp>
    <xdr:clientData/>
  </xdr:oneCellAnchor>
  <xdr:oneCellAnchor>
    <xdr:from>
      <xdr:col>0</xdr:col>
      <xdr:colOff>53731</xdr:colOff>
      <xdr:row>38</xdr:row>
      <xdr:rowOff>175020</xdr:rowOff>
    </xdr:from>
    <xdr:ext cx="1782884" cy="183384"/>
    <xdr:sp macro="" textlink="">
      <xdr:nvSpPr>
        <xdr:cNvPr id="28" name="テキスト ボックス 27"/>
        <xdr:cNvSpPr txBox="1"/>
      </xdr:nvSpPr>
      <xdr:spPr>
        <a:xfrm>
          <a:off x="53731" y="8068558"/>
          <a:ext cx="1782884" cy="1833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spAutoFit/>
        </a:bodyPr>
        <a:lstStyle/>
        <a:p>
          <a:pPr algn="l"/>
          <a:r>
            <a:rPr kumimoji="1" lang="en-US" altLang="ja-JP" sz="1100">
              <a:solidFill>
                <a:srgbClr val="FF0000"/>
              </a:solidFill>
            </a:rPr>
            <a:t>※1 </a:t>
          </a:r>
          <a:r>
            <a:rPr kumimoji="1" lang="ja-JP" altLang="en-US" sz="1100">
              <a:solidFill>
                <a:srgbClr val="FF0000"/>
              </a:solidFill>
            </a:rPr>
            <a:t>手圧着作業</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ysClr val="window" lastClr="FFFFFF"/>
        </a:solidFill>
        <a:ln>
          <a:solidFill>
            <a:sysClr val="windowText" lastClr="000000"/>
          </a:solidFill>
        </a:ln>
      </a:spPr>
      <a:bodyPr vertOverflow="overflow" horzOverflow="overflow" wrap="none" lIns="0" tIns="0" rIns="0" bIns="0" rtlCol="0" anchor="ctr"/>
      <a:lstStyle>
        <a:defPPr algn="ctr">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olidFill>
            <a:sysClr val="windowText" lastClr="000000"/>
          </a:solidFill>
          <a:tailEnd type="triangle"/>
        </a:ln>
      </a:spPr>
      <a:bodyPr/>
      <a:lstStyle/>
      <a:style>
        <a:lnRef idx="1">
          <a:schemeClr val="accent1"/>
        </a:lnRef>
        <a:fillRef idx="0">
          <a:schemeClr val="accent1"/>
        </a:fillRef>
        <a:effectRef idx="0">
          <a:schemeClr val="accent1"/>
        </a:effectRef>
        <a:fontRef idx="minor">
          <a:schemeClr val="tx1"/>
        </a:fontRef>
      </a:style>
    </a:lnDef>
    <a:txDef>
      <a:spPr>
        <a:noFill/>
        <a:ln>
          <a:noFill/>
        </a:ln>
      </a:spPr>
      <a:bodyPr vertOverflow="clip" horzOverflow="clip" wrap="square" tIns="0" bIns="0" rtlCol="0" anchor="t">
        <a:spAutoFit/>
      </a:bodyPr>
      <a:lstStyle>
        <a:defPPr algn="l">
          <a:defRPr kumimoji="1" sz="1100">
            <a:solidFill>
              <a:srgbClr val="FF0000"/>
            </a:solidFill>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x.gd/GHUlj" TargetMode="External"/><Relationship Id="rId13" Type="http://schemas.openxmlformats.org/officeDocument/2006/relationships/hyperlink" Target="https://x.gd/aYYjg" TargetMode="External"/><Relationship Id="rId18" Type="http://schemas.openxmlformats.org/officeDocument/2006/relationships/hyperlink" Target="https://x.gd/TKjCV" TargetMode="External"/><Relationship Id="rId3" Type="http://schemas.openxmlformats.org/officeDocument/2006/relationships/hyperlink" Target="https://x.gd/n2Ox0" TargetMode="External"/><Relationship Id="rId21" Type="http://schemas.openxmlformats.org/officeDocument/2006/relationships/drawing" Target="../drawings/drawing7.xml"/><Relationship Id="rId7" Type="http://schemas.openxmlformats.org/officeDocument/2006/relationships/hyperlink" Target="https://x.gd/aYYjg" TargetMode="External"/><Relationship Id="rId12" Type="http://schemas.openxmlformats.org/officeDocument/2006/relationships/hyperlink" Target="https://x.gd/GHUlj" TargetMode="External"/><Relationship Id="rId17" Type="http://schemas.openxmlformats.org/officeDocument/2006/relationships/hyperlink" Target="https://x.gd/yYt7X" TargetMode="External"/><Relationship Id="rId2" Type="http://schemas.openxmlformats.org/officeDocument/2006/relationships/hyperlink" Target="https://x.gd/5Bsck" TargetMode="External"/><Relationship Id="rId16" Type="http://schemas.openxmlformats.org/officeDocument/2006/relationships/hyperlink" Target="https://x.gd/yYt7X" TargetMode="External"/><Relationship Id="rId20" Type="http://schemas.openxmlformats.org/officeDocument/2006/relationships/printerSettings" Target="../printerSettings/printerSettings9.bin"/><Relationship Id="rId1" Type="http://schemas.openxmlformats.org/officeDocument/2006/relationships/hyperlink" Target="https://x.gd/YwUQD" TargetMode="External"/><Relationship Id="rId6" Type="http://schemas.openxmlformats.org/officeDocument/2006/relationships/hyperlink" Target="https://x.gd/aAn41" TargetMode="External"/><Relationship Id="rId11" Type="http://schemas.openxmlformats.org/officeDocument/2006/relationships/hyperlink" Target="https://x.gd/aYYjg" TargetMode="External"/><Relationship Id="rId5" Type="http://schemas.openxmlformats.org/officeDocument/2006/relationships/hyperlink" Target="https://x.gd/VmsQg" TargetMode="External"/><Relationship Id="rId15" Type="http://schemas.openxmlformats.org/officeDocument/2006/relationships/hyperlink" Target="https://www.mitutoyo.co.jp/public/cms-assets/downloads/catalog/data-management/pdf/12051.pdf" TargetMode="External"/><Relationship Id="rId10" Type="http://schemas.openxmlformats.org/officeDocument/2006/relationships/hyperlink" Target="https://x.gd/GHUlj" TargetMode="External"/><Relationship Id="rId19" Type="http://schemas.openxmlformats.org/officeDocument/2006/relationships/hyperlink" Target="https://x.gd/yYt7X" TargetMode="External"/><Relationship Id="rId4" Type="http://schemas.openxmlformats.org/officeDocument/2006/relationships/hyperlink" Target="https://x.gd/1iO2c" TargetMode="External"/><Relationship Id="rId9" Type="http://schemas.openxmlformats.org/officeDocument/2006/relationships/hyperlink" Target="https://x.gd/aYYjg" TargetMode="External"/><Relationship Id="rId14" Type="http://schemas.openxmlformats.org/officeDocument/2006/relationships/hyperlink" Target="https://x.gd/GHUlj"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x.gd/aYYjg" TargetMode="External"/><Relationship Id="rId13" Type="http://schemas.openxmlformats.org/officeDocument/2006/relationships/hyperlink" Target="https://www.mitutoyo.co.jp/public/cms-assets/downloads/catalog/data-management/pdf/12051.pdf" TargetMode="External"/><Relationship Id="rId18" Type="http://schemas.openxmlformats.org/officeDocument/2006/relationships/hyperlink" Target="https://x.gd/IgeDC" TargetMode="External"/><Relationship Id="rId3" Type="http://schemas.openxmlformats.org/officeDocument/2006/relationships/hyperlink" Target="https://x.gd/n2Ox0" TargetMode="External"/><Relationship Id="rId21" Type="http://schemas.openxmlformats.org/officeDocument/2006/relationships/drawing" Target="../drawings/drawing8.xml"/><Relationship Id="rId7" Type="http://schemas.openxmlformats.org/officeDocument/2006/relationships/hyperlink" Target="https://x.gd/kIJYO" TargetMode="External"/><Relationship Id="rId12" Type="http://schemas.openxmlformats.org/officeDocument/2006/relationships/hyperlink" Target="https://x.gd/GHUlj" TargetMode="External"/><Relationship Id="rId17" Type="http://schemas.openxmlformats.org/officeDocument/2006/relationships/hyperlink" Target="https://x.gd/yYt7X" TargetMode="External"/><Relationship Id="rId2" Type="http://schemas.openxmlformats.org/officeDocument/2006/relationships/hyperlink" Target="https://x.gd/5Bsck" TargetMode="External"/><Relationship Id="rId16" Type="http://schemas.openxmlformats.org/officeDocument/2006/relationships/hyperlink" Target="https://x.gd/99ylK" TargetMode="External"/><Relationship Id="rId20" Type="http://schemas.openxmlformats.org/officeDocument/2006/relationships/printerSettings" Target="../printerSettings/printerSettings10.bin"/><Relationship Id="rId1" Type="http://schemas.openxmlformats.org/officeDocument/2006/relationships/hyperlink" Target="https://x.gd/YwUQD" TargetMode="External"/><Relationship Id="rId6" Type="http://schemas.openxmlformats.org/officeDocument/2006/relationships/hyperlink" Target="https://x.gd/aAn41" TargetMode="External"/><Relationship Id="rId11" Type="http://schemas.openxmlformats.org/officeDocument/2006/relationships/hyperlink" Target="https://x.gd/GHUlj" TargetMode="External"/><Relationship Id="rId5" Type="http://schemas.openxmlformats.org/officeDocument/2006/relationships/hyperlink" Target="https://x.gd/VmsQg" TargetMode="External"/><Relationship Id="rId15" Type="http://schemas.openxmlformats.org/officeDocument/2006/relationships/hyperlink" Target="https://x.gd/yYt7X" TargetMode="External"/><Relationship Id="rId10" Type="http://schemas.openxmlformats.org/officeDocument/2006/relationships/hyperlink" Target="https://x.gd/aYYjg" TargetMode="External"/><Relationship Id="rId19" Type="http://schemas.openxmlformats.org/officeDocument/2006/relationships/hyperlink" Target="https://x.gd/aYYjg" TargetMode="External"/><Relationship Id="rId4" Type="http://schemas.openxmlformats.org/officeDocument/2006/relationships/hyperlink" Target="https://x.gd/1iO2c" TargetMode="External"/><Relationship Id="rId9" Type="http://schemas.openxmlformats.org/officeDocument/2006/relationships/hyperlink" Target="https://x.gd/GHUlj" TargetMode="External"/><Relationship Id="rId14" Type="http://schemas.openxmlformats.org/officeDocument/2006/relationships/hyperlink" Target="https://x.gd/yYt7X"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L293"/>
  <sheetViews>
    <sheetView view="pageBreakPreview" zoomScale="115" zoomScaleNormal="100" zoomScaleSheetLayoutView="115" workbookViewId="0">
      <selection activeCell="F51" sqref="F51"/>
    </sheetView>
  </sheetViews>
  <sheetFormatPr defaultRowHeight="15.5" x14ac:dyDescent="0.2"/>
  <cols>
    <col min="1" max="1" width="1.7265625" style="132" customWidth="1"/>
    <col min="2" max="2" width="16.08984375" style="132" bestFit="1" customWidth="1"/>
    <col min="3" max="11" width="8.7265625" style="132"/>
    <col min="12" max="12" width="3.453125" style="132" customWidth="1"/>
    <col min="13" max="13" width="3.81640625" style="132" customWidth="1"/>
    <col min="14" max="14" width="2.6328125" style="132" customWidth="1"/>
    <col min="15" max="15" width="1.7265625" style="132" customWidth="1"/>
    <col min="16" max="16384" width="8.7265625" style="132"/>
  </cols>
  <sheetData>
    <row r="1" spans="2:12" s="131" customFormat="1" ht="14" x14ac:dyDescent="0.2"/>
    <row r="2" spans="2:12" ht="21" x14ac:dyDescent="0.2">
      <c r="B2" s="151" t="s">
        <v>225</v>
      </c>
    </row>
    <row r="3" spans="2:12" s="131" customFormat="1" ht="14" x14ac:dyDescent="0.2"/>
    <row r="4" spans="2:12" ht="21" x14ac:dyDescent="0.2">
      <c r="B4" s="133" t="s">
        <v>226</v>
      </c>
    </row>
    <row r="5" spans="2:12" s="131" customFormat="1" ht="14" x14ac:dyDescent="0.2"/>
    <row r="6" spans="2:12" ht="33.5" customHeight="1" x14ac:dyDescent="0.2">
      <c r="B6" s="198" t="s">
        <v>227</v>
      </c>
      <c r="C6" s="198"/>
      <c r="D6" s="198"/>
      <c r="E6" s="198"/>
      <c r="F6" s="198"/>
      <c r="G6" s="198"/>
      <c r="H6" s="198"/>
      <c r="I6" s="198"/>
      <c r="J6" s="198"/>
      <c r="K6" s="198"/>
      <c r="L6" s="198"/>
    </row>
    <row r="7" spans="2:12" s="131" customFormat="1" ht="14" x14ac:dyDescent="0.2"/>
    <row r="8" spans="2:12" ht="21" x14ac:dyDescent="0.2">
      <c r="B8" s="134" t="s">
        <v>228</v>
      </c>
    </row>
    <row r="9" spans="2:12" ht="21" x14ac:dyDescent="0.2">
      <c r="B9" s="134"/>
    </row>
    <row r="10" spans="2:12" x14ac:dyDescent="0.2">
      <c r="B10" s="137" t="s">
        <v>229</v>
      </c>
    </row>
    <row r="11" spans="2:12" s="131" customFormat="1" ht="14" x14ac:dyDescent="0.2">
      <c r="B11" s="138" t="s">
        <v>243</v>
      </c>
    </row>
    <row r="12" spans="2:12" s="131" customFormat="1" ht="14" x14ac:dyDescent="0.2">
      <c r="B12" s="138"/>
    </row>
    <row r="13" spans="2:12" x14ac:dyDescent="0.2">
      <c r="B13" s="137" t="s">
        <v>230</v>
      </c>
    </row>
    <row r="14" spans="2:12" s="131" customFormat="1" ht="14" x14ac:dyDescent="0.2">
      <c r="B14" s="138" t="s">
        <v>240</v>
      </c>
    </row>
    <row r="15" spans="2:12" s="131" customFormat="1" ht="14" x14ac:dyDescent="0.2">
      <c r="B15" s="138"/>
    </row>
    <row r="16" spans="2:12" s="131" customFormat="1" ht="14" x14ac:dyDescent="0.2">
      <c r="B16" s="138" t="s">
        <v>242</v>
      </c>
    </row>
    <row r="17" spans="2:2" s="131" customFormat="1" ht="14" x14ac:dyDescent="0.2">
      <c r="B17" s="140" t="s">
        <v>241</v>
      </c>
    </row>
    <row r="18" spans="2:2" s="131" customFormat="1" ht="14" x14ac:dyDescent="0.2">
      <c r="B18" s="140" t="s">
        <v>248</v>
      </c>
    </row>
    <row r="19" spans="2:2" s="131" customFormat="1" ht="14" x14ac:dyDescent="0.2">
      <c r="B19" s="138"/>
    </row>
    <row r="20" spans="2:2" s="131" customFormat="1" ht="14" x14ac:dyDescent="0.2">
      <c r="B20" s="138" t="s">
        <v>244</v>
      </c>
    </row>
    <row r="21" spans="2:2" s="131" customFormat="1" ht="14" x14ac:dyDescent="0.2">
      <c r="B21" s="141" t="s">
        <v>245</v>
      </c>
    </row>
    <row r="22" spans="2:2" s="131" customFormat="1" ht="14" x14ac:dyDescent="0.2">
      <c r="B22" s="141" t="s">
        <v>246</v>
      </c>
    </row>
    <row r="23" spans="2:2" s="131" customFormat="1" ht="14" x14ac:dyDescent="0.2">
      <c r="B23" s="141"/>
    </row>
    <row r="24" spans="2:2" s="131" customFormat="1" ht="14" x14ac:dyDescent="0.2">
      <c r="B24" s="138" t="s">
        <v>247</v>
      </c>
    </row>
    <row r="25" spans="2:2" s="131" customFormat="1" ht="14" x14ac:dyDescent="0.2">
      <c r="B25" s="142" t="s">
        <v>249</v>
      </c>
    </row>
    <row r="26" spans="2:2" s="131" customFormat="1" ht="14" x14ac:dyDescent="0.2">
      <c r="B26" s="138"/>
    </row>
    <row r="27" spans="2:2" x14ac:dyDescent="0.2">
      <c r="B27" s="137" t="s">
        <v>231</v>
      </c>
    </row>
    <row r="28" spans="2:2" s="131" customFormat="1" ht="14" x14ac:dyDescent="0.2">
      <c r="B28" s="138" t="s">
        <v>250</v>
      </c>
    </row>
    <row r="29" spans="2:2" s="131" customFormat="1" ht="14" x14ac:dyDescent="0.2">
      <c r="B29" s="135"/>
    </row>
    <row r="30" spans="2:2" s="131" customFormat="1" ht="14" x14ac:dyDescent="0.2">
      <c r="B30" s="135"/>
    </row>
    <row r="31" spans="2:2" ht="21" x14ac:dyDescent="0.2">
      <c r="B31" s="134" t="s">
        <v>232</v>
      </c>
    </row>
    <row r="32" spans="2:2" ht="21" x14ac:dyDescent="0.2">
      <c r="B32" s="134"/>
    </row>
    <row r="33" spans="2:2" s="131" customFormat="1" ht="14" x14ac:dyDescent="0.2">
      <c r="B33" s="139" t="s">
        <v>233</v>
      </c>
    </row>
    <row r="34" spans="2:2" s="131" customFormat="1" ht="14" x14ac:dyDescent="0.2">
      <c r="B34" s="138" t="s">
        <v>251</v>
      </c>
    </row>
    <row r="35" spans="2:2" s="131" customFormat="1" ht="14" x14ac:dyDescent="0.2">
      <c r="B35" s="138" t="s">
        <v>252</v>
      </c>
    </row>
    <row r="36" spans="2:2" s="131" customFormat="1" ht="14" x14ac:dyDescent="0.2">
      <c r="B36" s="138" t="s">
        <v>253</v>
      </c>
    </row>
    <row r="37" spans="2:2" s="131" customFormat="1" ht="14" x14ac:dyDescent="0.2">
      <c r="B37" s="138" t="s">
        <v>256</v>
      </c>
    </row>
    <row r="38" spans="2:2" s="131" customFormat="1" ht="14" x14ac:dyDescent="0.2">
      <c r="B38" s="135"/>
    </row>
    <row r="39" spans="2:2" s="131" customFormat="1" ht="14" x14ac:dyDescent="0.2">
      <c r="B39" s="135"/>
    </row>
    <row r="40" spans="2:2" s="131" customFormat="1" ht="21" x14ac:dyDescent="0.2">
      <c r="B40" s="143" t="s">
        <v>234</v>
      </c>
    </row>
    <row r="41" spans="2:2" s="131" customFormat="1" ht="21" x14ac:dyDescent="0.2">
      <c r="B41" s="143"/>
    </row>
    <row r="42" spans="2:2" s="131" customFormat="1" ht="14" x14ac:dyDescent="0.2">
      <c r="B42" s="139" t="s">
        <v>254</v>
      </c>
    </row>
    <row r="43" spans="2:2" s="131" customFormat="1" ht="14" x14ac:dyDescent="0.2">
      <c r="B43" s="138" t="s">
        <v>261</v>
      </c>
    </row>
    <row r="44" spans="2:2" s="131" customFormat="1" ht="14" x14ac:dyDescent="0.2">
      <c r="B44" s="138"/>
    </row>
    <row r="45" spans="2:2" s="131" customFormat="1" ht="14" x14ac:dyDescent="0.2">
      <c r="B45" s="139" t="s">
        <v>255</v>
      </c>
    </row>
    <row r="46" spans="2:2" s="131" customFormat="1" ht="14" x14ac:dyDescent="0.2">
      <c r="B46" s="138" t="s">
        <v>262</v>
      </c>
    </row>
    <row r="47" spans="2:2" s="131" customFormat="1" ht="14" x14ac:dyDescent="0.2">
      <c r="B47" s="138" t="s">
        <v>263</v>
      </c>
    </row>
    <row r="48" spans="2:2" s="131" customFormat="1" ht="14" x14ac:dyDescent="0.2">
      <c r="B48" s="138"/>
    </row>
    <row r="49" spans="2:2" s="131" customFormat="1" ht="14" x14ac:dyDescent="0.2">
      <c r="B49" s="139" t="s">
        <v>235</v>
      </c>
    </row>
    <row r="50" spans="2:2" s="131" customFormat="1" ht="14" x14ac:dyDescent="0.2">
      <c r="B50" s="138" t="s">
        <v>257</v>
      </c>
    </row>
    <row r="51" spans="2:2" s="131" customFormat="1" ht="14" x14ac:dyDescent="0.2">
      <c r="B51" s="138" t="s">
        <v>258</v>
      </c>
    </row>
    <row r="52" spans="2:2" s="131" customFormat="1" ht="14" x14ac:dyDescent="0.2">
      <c r="B52" s="138"/>
    </row>
    <row r="53" spans="2:2" s="131" customFormat="1" ht="14" x14ac:dyDescent="0.2">
      <c r="B53" s="144" t="s">
        <v>259</v>
      </c>
    </row>
    <row r="54" spans="2:2" s="131" customFormat="1" ht="14" x14ac:dyDescent="0.2">
      <c r="B54" s="138" t="s">
        <v>260</v>
      </c>
    </row>
    <row r="55" spans="2:2" s="131" customFormat="1" ht="14" x14ac:dyDescent="0.2">
      <c r="B55" s="138" t="s">
        <v>264</v>
      </c>
    </row>
    <row r="56" spans="2:2" s="131" customFormat="1" ht="14" x14ac:dyDescent="0.2">
      <c r="B56" s="135"/>
    </row>
    <row r="57" spans="2:2" s="131" customFormat="1" ht="14" x14ac:dyDescent="0.2">
      <c r="B57" s="135"/>
    </row>
    <row r="58" spans="2:2" s="131" customFormat="1" ht="21" x14ac:dyDescent="0.2">
      <c r="B58" s="143" t="s">
        <v>236</v>
      </c>
    </row>
    <row r="59" spans="2:2" s="131" customFormat="1" ht="21" x14ac:dyDescent="0.2">
      <c r="B59" s="143"/>
    </row>
    <row r="60" spans="2:2" s="131" customFormat="1" ht="14" x14ac:dyDescent="0.2">
      <c r="B60" s="139" t="s">
        <v>237</v>
      </c>
    </row>
    <row r="61" spans="2:2" s="131" customFormat="1" ht="14" x14ac:dyDescent="0.2">
      <c r="B61" s="138" t="s">
        <v>265</v>
      </c>
    </row>
    <row r="62" spans="2:2" s="131" customFormat="1" ht="14" x14ac:dyDescent="0.2">
      <c r="B62" s="138"/>
    </row>
    <row r="63" spans="2:2" s="131" customFormat="1" ht="14" x14ac:dyDescent="0.2">
      <c r="B63" s="139" t="s">
        <v>238</v>
      </c>
    </row>
    <row r="64" spans="2:2" s="131" customFormat="1" ht="14" x14ac:dyDescent="0.2">
      <c r="B64" s="138" t="s">
        <v>266</v>
      </c>
    </row>
    <row r="65" spans="2:2" s="131" customFormat="1" ht="14" x14ac:dyDescent="0.2">
      <c r="B65" s="138"/>
    </row>
    <row r="66" spans="2:2" s="131" customFormat="1" ht="14" x14ac:dyDescent="0.2">
      <c r="B66" s="139" t="s">
        <v>239</v>
      </c>
    </row>
    <row r="67" spans="2:2" s="131" customFormat="1" ht="14" x14ac:dyDescent="0.2">
      <c r="B67" s="138" t="s">
        <v>267</v>
      </c>
    </row>
    <row r="68" spans="2:2" s="131" customFormat="1" ht="14" x14ac:dyDescent="0.2">
      <c r="B68" s="138" t="s">
        <v>268</v>
      </c>
    </row>
    <row r="69" spans="2:2" s="131" customFormat="1" ht="14" x14ac:dyDescent="0.2">
      <c r="B69" s="138"/>
    </row>
    <row r="70" spans="2:2" s="131" customFormat="1" ht="14" x14ac:dyDescent="0.2"/>
    <row r="71" spans="2:2" s="131" customFormat="1" ht="14" x14ac:dyDescent="0.2"/>
    <row r="72" spans="2:2" s="131" customFormat="1" ht="14" x14ac:dyDescent="0.2"/>
    <row r="73" spans="2:2" s="131" customFormat="1" ht="14" x14ac:dyDescent="0.2"/>
    <row r="74" spans="2:2" s="131" customFormat="1" ht="14" x14ac:dyDescent="0.2"/>
    <row r="75" spans="2:2" s="131" customFormat="1" ht="14" x14ac:dyDescent="0.2"/>
    <row r="76" spans="2:2" s="131" customFormat="1" ht="14" x14ac:dyDescent="0.2"/>
    <row r="77" spans="2:2" s="131" customFormat="1" ht="14" x14ac:dyDescent="0.2"/>
    <row r="78" spans="2:2" s="131" customFormat="1" ht="14" x14ac:dyDescent="0.2"/>
    <row r="79" spans="2:2" s="131" customFormat="1" ht="14" x14ac:dyDescent="0.2"/>
    <row r="80" spans="2:2" s="131" customFormat="1" ht="14" x14ac:dyDescent="0.2"/>
    <row r="81" s="131" customFormat="1" ht="14" x14ac:dyDescent="0.2"/>
    <row r="82" s="131" customFormat="1" ht="14" x14ac:dyDescent="0.2"/>
    <row r="83" s="131" customFormat="1" ht="14" x14ac:dyDescent="0.2"/>
    <row r="84" s="131" customFormat="1" ht="14" x14ac:dyDescent="0.2"/>
    <row r="85" s="131" customFormat="1" ht="14" x14ac:dyDescent="0.2"/>
    <row r="86" s="131" customFormat="1" ht="14" x14ac:dyDescent="0.2"/>
    <row r="87" s="131" customFormat="1" ht="14" x14ac:dyDescent="0.2"/>
    <row r="88" s="131" customFormat="1" ht="14" x14ac:dyDescent="0.2"/>
    <row r="89" s="131" customFormat="1" ht="14" x14ac:dyDescent="0.2"/>
    <row r="90" s="131" customFormat="1" ht="14" x14ac:dyDescent="0.2"/>
    <row r="91" s="131" customFormat="1" ht="14" x14ac:dyDescent="0.2"/>
    <row r="92" s="131" customFormat="1" ht="14" x14ac:dyDescent="0.2"/>
    <row r="93" s="131" customFormat="1" ht="14" x14ac:dyDescent="0.2"/>
    <row r="94" s="131" customFormat="1" ht="14" x14ac:dyDescent="0.2"/>
    <row r="95" s="131" customFormat="1" ht="14" x14ac:dyDescent="0.2"/>
    <row r="96" s="131" customFormat="1" ht="14" x14ac:dyDescent="0.2"/>
    <row r="97" s="131" customFormat="1" ht="14" x14ac:dyDescent="0.2"/>
    <row r="98" s="131" customFormat="1" ht="14" x14ac:dyDescent="0.2"/>
    <row r="99" s="131" customFormat="1" ht="14" x14ac:dyDescent="0.2"/>
    <row r="100" s="131" customFormat="1" ht="14" x14ac:dyDescent="0.2"/>
    <row r="101" s="131" customFormat="1" ht="14" x14ac:dyDescent="0.2"/>
    <row r="102" s="131" customFormat="1" ht="14" x14ac:dyDescent="0.2"/>
    <row r="103" s="131" customFormat="1" ht="14" x14ac:dyDescent="0.2"/>
    <row r="104" s="131" customFormat="1" ht="14" x14ac:dyDescent="0.2"/>
    <row r="105" s="131" customFormat="1" ht="14" x14ac:dyDescent="0.2"/>
    <row r="106" s="131" customFormat="1" ht="14" x14ac:dyDescent="0.2"/>
    <row r="107" s="131" customFormat="1" ht="14" x14ac:dyDescent="0.2"/>
    <row r="108" s="131" customFormat="1" ht="14" x14ac:dyDescent="0.2"/>
    <row r="109" s="131" customFormat="1" ht="14" x14ac:dyDescent="0.2"/>
    <row r="110" s="131" customFormat="1" ht="14" x14ac:dyDescent="0.2"/>
    <row r="111" s="131" customFormat="1" ht="14" x14ac:dyDescent="0.2"/>
    <row r="112" s="131" customFormat="1" ht="14" x14ac:dyDescent="0.2"/>
    <row r="113" s="131" customFormat="1" ht="14" x14ac:dyDescent="0.2"/>
    <row r="114" s="131" customFormat="1" ht="14" x14ac:dyDescent="0.2"/>
    <row r="115" s="131" customFormat="1" ht="14" x14ac:dyDescent="0.2"/>
    <row r="116" s="131" customFormat="1" ht="14" x14ac:dyDescent="0.2"/>
    <row r="117" s="131" customFormat="1" ht="14" x14ac:dyDescent="0.2"/>
    <row r="118" s="131" customFormat="1" ht="14" x14ac:dyDescent="0.2"/>
    <row r="119" s="131" customFormat="1" ht="14" x14ac:dyDescent="0.2"/>
    <row r="120" s="131" customFormat="1" ht="14" x14ac:dyDescent="0.2"/>
    <row r="121" s="131" customFormat="1" ht="14" x14ac:dyDescent="0.2"/>
    <row r="122" s="131" customFormat="1" ht="14" x14ac:dyDescent="0.2"/>
    <row r="123" s="131" customFormat="1" ht="14" x14ac:dyDescent="0.2"/>
    <row r="124" s="131" customFormat="1" ht="14" x14ac:dyDescent="0.2"/>
    <row r="125" s="131" customFormat="1" ht="14" x14ac:dyDescent="0.2"/>
    <row r="126" s="131" customFormat="1" ht="14" x14ac:dyDescent="0.2"/>
    <row r="127" s="131" customFormat="1" ht="14" x14ac:dyDescent="0.2"/>
    <row r="128" s="131" customFormat="1" ht="14" x14ac:dyDescent="0.2"/>
    <row r="129" s="131" customFormat="1" ht="14" x14ac:dyDescent="0.2"/>
    <row r="130" s="131" customFormat="1" ht="14" x14ac:dyDescent="0.2"/>
    <row r="131" s="131" customFormat="1" ht="14" x14ac:dyDescent="0.2"/>
    <row r="132" s="131" customFormat="1" ht="14" x14ac:dyDescent="0.2"/>
    <row r="133" s="131" customFormat="1" ht="14" x14ac:dyDescent="0.2"/>
    <row r="134" s="131" customFormat="1" ht="14" x14ac:dyDescent="0.2"/>
    <row r="135" s="131" customFormat="1" ht="14" x14ac:dyDescent="0.2"/>
    <row r="136" s="131" customFormat="1" ht="14" x14ac:dyDescent="0.2"/>
    <row r="137" s="131" customFormat="1" ht="14" x14ac:dyDescent="0.2"/>
    <row r="138" s="131" customFormat="1" ht="14" x14ac:dyDescent="0.2"/>
    <row r="139" s="131" customFormat="1" ht="14" x14ac:dyDescent="0.2"/>
    <row r="140" s="131" customFormat="1" ht="14" x14ac:dyDescent="0.2"/>
    <row r="141" s="131" customFormat="1" ht="14" x14ac:dyDescent="0.2"/>
    <row r="142" s="131" customFormat="1" ht="14" x14ac:dyDescent="0.2"/>
    <row r="143" s="131" customFormat="1" ht="14" x14ac:dyDescent="0.2"/>
    <row r="144" s="131" customFormat="1" ht="14" x14ac:dyDescent="0.2"/>
    <row r="145" s="131" customFormat="1" ht="14" x14ac:dyDescent="0.2"/>
    <row r="146" s="131" customFormat="1" ht="14" x14ac:dyDescent="0.2"/>
    <row r="147" s="131" customFormat="1" ht="14" x14ac:dyDescent="0.2"/>
    <row r="148" s="131" customFormat="1" ht="14" x14ac:dyDescent="0.2"/>
    <row r="149" s="131" customFormat="1" ht="14" x14ac:dyDescent="0.2"/>
    <row r="150" s="131" customFormat="1" ht="14" x14ac:dyDescent="0.2"/>
    <row r="151" s="131" customFormat="1" ht="14" x14ac:dyDescent="0.2"/>
    <row r="152" s="131" customFormat="1" ht="14" x14ac:dyDescent="0.2"/>
    <row r="153" s="131" customFormat="1" ht="14" x14ac:dyDescent="0.2"/>
    <row r="154" s="131" customFormat="1" ht="14" x14ac:dyDescent="0.2"/>
    <row r="155" s="131" customFormat="1" ht="14" x14ac:dyDescent="0.2"/>
    <row r="156" s="131" customFormat="1" ht="14" x14ac:dyDescent="0.2"/>
    <row r="157" s="131" customFormat="1" ht="14" x14ac:dyDescent="0.2"/>
    <row r="158" s="131" customFormat="1" ht="14" x14ac:dyDescent="0.2"/>
    <row r="159" s="131" customFormat="1" ht="14" x14ac:dyDescent="0.2"/>
    <row r="160" s="131" customFormat="1" ht="14" x14ac:dyDescent="0.2"/>
    <row r="161" s="131" customFormat="1" ht="14" x14ac:dyDescent="0.2"/>
    <row r="162" s="131" customFormat="1" ht="14" x14ac:dyDescent="0.2"/>
    <row r="163" s="131" customFormat="1" ht="14" x14ac:dyDescent="0.2"/>
    <row r="164" s="131" customFormat="1" ht="14" x14ac:dyDescent="0.2"/>
    <row r="165" s="131" customFormat="1" ht="14" x14ac:dyDescent="0.2"/>
    <row r="166" s="131" customFormat="1" ht="14" x14ac:dyDescent="0.2"/>
    <row r="167" s="131" customFormat="1" ht="14" x14ac:dyDescent="0.2"/>
    <row r="168" s="131" customFormat="1" ht="14" x14ac:dyDescent="0.2"/>
    <row r="169" s="131" customFormat="1" ht="14" x14ac:dyDescent="0.2"/>
    <row r="170" s="131" customFormat="1" ht="14" x14ac:dyDescent="0.2"/>
    <row r="171" s="131" customFormat="1" ht="14" x14ac:dyDescent="0.2"/>
    <row r="172" s="131" customFormat="1" ht="14" x14ac:dyDescent="0.2"/>
    <row r="173" s="131" customFormat="1" ht="14" x14ac:dyDescent="0.2"/>
    <row r="174" s="131" customFormat="1" ht="14" x14ac:dyDescent="0.2"/>
    <row r="175" s="131" customFormat="1" ht="14" x14ac:dyDescent="0.2"/>
    <row r="176" s="131" customFormat="1" ht="14" x14ac:dyDescent="0.2"/>
    <row r="177" s="131" customFormat="1" ht="14" x14ac:dyDescent="0.2"/>
    <row r="178" s="131" customFormat="1" ht="14" x14ac:dyDescent="0.2"/>
    <row r="179" s="131" customFormat="1" ht="14" x14ac:dyDescent="0.2"/>
    <row r="180" s="131" customFormat="1" ht="14" x14ac:dyDescent="0.2"/>
    <row r="181" s="131" customFormat="1" ht="14" x14ac:dyDescent="0.2"/>
    <row r="182" s="131" customFormat="1" ht="14" x14ac:dyDescent="0.2"/>
    <row r="183" s="131" customFormat="1" ht="14" x14ac:dyDescent="0.2"/>
    <row r="184" s="131" customFormat="1" ht="14" x14ac:dyDescent="0.2"/>
    <row r="185" s="131" customFormat="1" ht="14" x14ac:dyDescent="0.2"/>
    <row r="186" s="131" customFormat="1" ht="14" x14ac:dyDescent="0.2"/>
    <row r="187" s="131" customFormat="1" ht="14" x14ac:dyDescent="0.2"/>
    <row r="188" s="131" customFormat="1" ht="14" x14ac:dyDescent="0.2"/>
    <row r="189" s="131" customFormat="1" ht="14" x14ac:dyDescent="0.2"/>
    <row r="190" s="131" customFormat="1" ht="14" x14ac:dyDescent="0.2"/>
    <row r="191" s="131" customFormat="1" ht="14" x14ac:dyDescent="0.2"/>
    <row r="192" s="131" customFormat="1" ht="14" x14ac:dyDescent="0.2"/>
    <row r="193" s="131" customFormat="1" ht="14" x14ac:dyDescent="0.2"/>
    <row r="194" s="131" customFormat="1" ht="14" x14ac:dyDescent="0.2"/>
    <row r="195" s="131" customFormat="1" ht="14" x14ac:dyDescent="0.2"/>
    <row r="196" s="131" customFormat="1" ht="14" x14ac:dyDescent="0.2"/>
    <row r="197" s="131" customFormat="1" ht="14" x14ac:dyDescent="0.2"/>
    <row r="198" s="131" customFormat="1" ht="14" x14ac:dyDescent="0.2"/>
    <row r="199" s="131" customFormat="1" ht="14" x14ac:dyDescent="0.2"/>
    <row r="200" s="131" customFormat="1" ht="14" x14ac:dyDescent="0.2"/>
    <row r="201" s="131" customFormat="1" ht="14" x14ac:dyDescent="0.2"/>
    <row r="202" s="131" customFormat="1" ht="14" x14ac:dyDescent="0.2"/>
    <row r="203" s="131" customFormat="1" ht="14" x14ac:dyDescent="0.2"/>
    <row r="204" s="131" customFormat="1" ht="14" x14ac:dyDescent="0.2"/>
    <row r="205" s="131" customFormat="1" ht="14" x14ac:dyDescent="0.2"/>
    <row r="206" s="131" customFormat="1" ht="14" x14ac:dyDescent="0.2"/>
    <row r="207" s="131" customFormat="1" ht="14" x14ac:dyDescent="0.2"/>
    <row r="208" s="131" customFormat="1" ht="14" x14ac:dyDescent="0.2"/>
    <row r="209" s="131" customFormat="1" ht="14" x14ac:dyDescent="0.2"/>
    <row r="210" s="131" customFormat="1" ht="14" x14ac:dyDescent="0.2"/>
    <row r="211" s="131" customFormat="1" ht="14" x14ac:dyDescent="0.2"/>
    <row r="212" s="131" customFormat="1" ht="14" x14ac:dyDescent="0.2"/>
    <row r="213" s="131" customFormat="1" ht="14" x14ac:dyDescent="0.2"/>
    <row r="214" s="131" customFormat="1" ht="14" x14ac:dyDescent="0.2"/>
    <row r="215" s="131" customFormat="1" ht="14" x14ac:dyDescent="0.2"/>
    <row r="216" s="131" customFormat="1" ht="14" x14ac:dyDescent="0.2"/>
    <row r="217" s="131" customFormat="1" ht="14" x14ac:dyDescent="0.2"/>
    <row r="218" s="131" customFormat="1" ht="14" x14ac:dyDescent="0.2"/>
    <row r="219" s="131" customFormat="1" ht="14" x14ac:dyDescent="0.2"/>
    <row r="220" s="131" customFormat="1" ht="14" x14ac:dyDescent="0.2"/>
    <row r="221" s="131" customFormat="1" ht="14" x14ac:dyDescent="0.2"/>
    <row r="222" s="131" customFormat="1" ht="14" x14ac:dyDescent="0.2"/>
    <row r="223" s="131" customFormat="1" ht="14" x14ac:dyDescent="0.2"/>
    <row r="224" s="131" customFormat="1" ht="14" x14ac:dyDescent="0.2"/>
    <row r="225" s="131" customFormat="1" ht="14" x14ac:dyDescent="0.2"/>
    <row r="226" s="131" customFormat="1" ht="14" x14ac:dyDescent="0.2"/>
    <row r="227" s="131" customFormat="1" ht="14" x14ac:dyDescent="0.2"/>
    <row r="228" s="131" customFormat="1" ht="14" x14ac:dyDescent="0.2"/>
    <row r="229" s="131" customFormat="1" ht="14" x14ac:dyDescent="0.2"/>
    <row r="230" s="131" customFormat="1" ht="14" x14ac:dyDescent="0.2"/>
    <row r="231" s="131" customFormat="1" ht="14" x14ac:dyDescent="0.2"/>
    <row r="232" s="131" customFormat="1" ht="14" x14ac:dyDescent="0.2"/>
    <row r="233" s="131" customFormat="1" ht="14" x14ac:dyDescent="0.2"/>
    <row r="234" s="131" customFormat="1" ht="14" x14ac:dyDescent="0.2"/>
    <row r="235" s="131" customFormat="1" ht="14" x14ac:dyDescent="0.2"/>
    <row r="236" s="131" customFormat="1" ht="14" x14ac:dyDescent="0.2"/>
    <row r="237" s="131" customFormat="1" ht="14" x14ac:dyDescent="0.2"/>
    <row r="238" s="131" customFormat="1" ht="14" x14ac:dyDescent="0.2"/>
    <row r="239" s="131" customFormat="1" ht="14" x14ac:dyDescent="0.2"/>
    <row r="240" s="131" customFormat="1" ht="14" x14ac:dyDescent="0.2"/>
    <row r="241" s="131" customFormat="1" ht="14" x14ac:dyDescent="0.2"/>
    <row r="242" s="131" customFormat="1" ht="14" x14ac:dyDescent="0.2"/>
    <row r="243" s="131" customFormat="1" ht="14" x14ac:dyDescent="0.2"/>
    <row r="244" s="131" customFormat="1" ht="14" x14ac:dyDescent="0.2"/>
    <row r="245" s="131" customFormat="1" ht="14" x14ac:dyDescent="0.2"/>
    <row r="246" s="131" customFormat="1" ht="14" x14ac:dyDescent="0.2"/>
    <row r="247" s="131" customFormat="1" ht="14" x14ac:dyDescent="0.2"/>
    <row r="248" s="131" customFormat="1" ht="14" x14ac:dyDescent="0.2"/>
    <row r="249" s="131" customFormat="1" ht="14" x14ac:dyDescent="0.2"/>
    <row r="250" s="131" customFormat="1" ht="14" x14ac:dyDescent="0.2"/>
    <row r="251" s="131" customFormat="1" ht="14" x14ac:dyDescent="0.2"/>
    <row r="252" s="131" customFormat="1" ht="14" x14ac:dyDescent="0.2"/>
    <row r="253" s="131" customFormat="1" ht="14" x14ac:dyDescent="0.2"/>
    <row r="254" s="131" customFormat="1" ht="14" x14ac:dyDescent="0.2"/>
    <row r="255" s="131" customFormat="1" ht="14" x14ac:dyDescent="0.2"/>
    <row r="256" s="131" customFormat="1" ht="14" x14ac:dyDescent="0.2"/>
    <row r="257" s="131" customFormat="1" ht="14" x14ac:dyDescent="0.2"/>
    <row r="258" s="131" customFormat="1" ht="14" x14ac:dyDescent="0.2"/>
    <row r="259" s="131" customFormat="1" ht="14" x14ac:dyDescent="0.2"/>
    <row r="260" s="131" customFormat="1" ht="14" x14ac:dyDescent="0.2"/>
    <row r="261" s="131" customFormat="1" ht="14" x14ac:dyDescent="0.2"/>
    <row r="262" s="131" customFormat="1" ht="14" x14ac:dyDescent="0.2"/>
    <row r="263" s="131" customFormat="1" ht="14" x14ac:dyDescent="0.2"/>
    <row r="264" s="131" customFormat="1" ht="14" x14ac:dyDescent="0.2"/>
    <row r="265" s="131" customFormat="1" ht="14" x14ac:dyDescent="0.2"/>
    <row r="266" s="131" customFormat="1" ht="14" x14ac:dyDescent="0.2"/>
    <row r="267" s="131" customFormat="1" ht="14" x14ac:dyDescent="0.2"/>
    <row r="268" s="131" customFormat="1" ht="14" x14ac:dyDescent="0.2"/>
    <row r="269" s="131" customFormat="1" ht="14" x14ac:dyDescent="0.2"/>
    <row r="270" s="131" customFormat="1" ht="14" x14ac:dyDescent="0.2"/>
    <row r="271" s="131" customFormat="1" ht="14" x14ac:dyDescent="0.2"/>
    <row r="272" s="131" customFormat="1" ht="14" x14ac:dyDescent="0.2"/>
    <row r="273" s="131" customFormat="1" ht="14" x14ac:dyDescent="0.2"/>
    <row r="274" s="131" customFormat="1" ht="14" x14ac:dyDescent="0.2"/>
    <row r="275" s="131" customFormat="1" ht="14" x14ac:dyDescent="0.2"/>
    <row r="276" s="131" customFormat="1" ht="14" x14ac:dyDescent="0.2"/>
    <row r="277" s="131" customFormat="1" ht="14" x14ac:dyDescent="0.2"/>
    <row r="278" s="131" customFormat="1" ht="14" x14ac:dyDescent="0.2"/>
    <row r="279" s="131" customFormat="1" ht="14" x14ac:dyDescent="0.2"/>
    <row r="280" s="131" customFormat="1" ht="14" x14ac:dyDescent="0.2"/>
    <row r="281" s="131" customFormat="1" ht="14" x14ac:dyDescent="0.2"/>
    <row r="282" s="131" customFormat="1" ht="14" x14ac:dyDescent="0.2"/>
    <row r="283" s="131" customFormat="1" ht="14" x14ac:dyDescent="0.2"/>
    <row r="284" s="131" customFormat="1" ht="14" x14ac:dyDescent="0.2"/>
    <row r="285" s="131" customFormat="1" ht="14" x14ac:dyDescent="0.2"/>
    <row r="286" s="131" customFormat="1" ht="14" x14ac:dyDescent="0.2"/>
    <row r="287" s="131" customFormat="1" ht="14" x14ac:dyDescent="0.2"/>
    <row r="288" s="131" customFormat="1" ht="14" x14ac:dyDescent="0.2"/>
    <row r="289" s="131" customFormat="1" ht="14" x14ac:dyDescent="0.2"/>
    <row r="290" s="131" customFormat="1" ht="14" x14ac:dyDescent="0.2"/>
    <row r="291" s="131" customFormat="1" ht="14" x14ac:dyDescent="0.2"/>
    <row r="292" s="131" customFormat="1" ht="14" x14ac:dyDescent="0.2"/>
    <row r="293" s="131" customFormat="1" ht="14" x14ac:dyDescent="0.2"/>
  </sheetData>
  <mergeCells count="1">
    <mergeCell ref="B6:L6"/>
  </mergeCells>
  <phoneticPr fontId="1"/>
  <pageMargins left="0" right="0" top="0.35433070866141736" bottom="0" header="0.31496062992125984" footer="0.31496062992125984"/>
  <pageSetup paperSize="9" orientation="portrait" r:id="rId1"/>
  <headerFooter>
    <oddHeader>&amp;R&amp;P/&amp;N</oddHeader>
  </headerFooter>
  <rowBreaks count="1" manualBreakCount="1">
    <brk id="55" max="11"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2"/>
  <sheetViews>
    <sheetView showGridLines="0" view="pageBreakPreview" zoomScale="60" zoomScaleNormal="115" workbookViewId="0">
      <selection activeCell="H31" sqref="H31"/>
    </sheetView>
  </sheetViews>
  <sheetFormatPr defaultRowHeight="13" x14ac:dyDescent="0.2"/>
  <cols>
    <col min="1" max="1" width="2.26953125" customWidth="1"/>
  </cols>
  <sheetData>
    <row r="1" spans="2:2" ht="9.5" customHeight="1" x14ac:dyDescent="0.2"/>
    <row r="2" spans="2:2" ht="21" x14ac:dyDescent="0.2">
      <c r="B2" s="151" t="s">
        <v>307</v>
      </c>
    </row>
  </sheetData>
  <phoneticPr fontId="1"/>
  <pageMargins left="0" right="0" top="0.35433070866141736" bottom="0" header="0.31496062992125984" footer="0.31496062992125984"/>
  <pageSetup paperSize="9" orientation="portrait" r:id="rId1"/>
  <headerFooter>
    <oddHeader>&amp;R&amp;P/&amp;N</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showGridLines="0" view="pageBreakPreview" zoomScale="60" zoomScaleNormal="85" workbookViewId="0">
      <selection activeCell="O60" sqref="O60"/>
    </sheetView>
  </sheetViews>
  <sheetFormatPr defaultRowHeight="13" x14ac:dyDescent="0.2"/>
  <cols>
    <col min="1" max="1" width="4.26953125" customWidth="1"/>
  </cols>
  <sheetData>
    <row r="1" spans="1:11" ht="21" x14ac:dyDescent="0.2">
      <c r="A1" s="170" t="s">
        <v>67</v>
      </c>
    </row>
    <row r="3" spans="1:11" x14ac:dyDescent="0.2">
      <c r="B3" s="2"/>
      <c r="C3" s="3" t="s">
        <v>7</v>
      </c>
      <c r="D3" s="5"/>
      <c r="E3" s="3" t="s">
        <v>8</v>
      </c>
      <c r="G3" s="3" t="s">
        <v>15</v>
      </c>
      <c r="I3" s="33"/>
    </row>
    <row r="5" spans="1:11" x14ac:dyDescent="0.2">
      <c r="C5" s="3" t="s">
        <v>13</v>
      </c>
      <c r="H5" t="s">
        <v>3</v>
      </c>
    </row>
    <row r="13" spans="1:11" x14ac:dyDescent="0.2">
      <c r="K13" s="1"/>
    </row>
    <row r="14" spans="1:11" x14ac:dyDescent="0.2">
      <c r="H14" t="s">
        <v>5</v>
      </c>
    </row>
    <row r="23" spans="8:8" x14ac:dyDescent="0.2">
      <c r="H23" t="s">
        <v>10</v>
      </c>
    </row>
    <row r="32" spans="8:8" x14ac:dyDescent="0.2">
      <c r="H32" t="s">
        <v>11</v>
      </c>
    </row>
    <row r="42" spans="2:2" x14ac:dyDescent="0.2">
      <c r="B42" t="s">
        <v>309</v>
      </c>
    </row>
    <row r="43" spans="2:2" x14ac:dyDescent="0.2">
      <c r="B43" t="s">
        <v>310</v>
      </c>
    </row>
  </sheetData>
  <phoneticPr fontId="1"/>
  <pageMargins left="0" right="0" top="0.35433070866141736" bottom="0" header="0.31496062992125984" footer="0.31496062992125984"/>
  <pageSetup paperSize="9" orientation="landscape" r:id="rId1"/>
  <headerFooter>
    <oddHeader>&amp;R&amp;P/&amp;N</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3"/>
  <sheetViews>
    <sheetView showGridLines="0" view="pageBreakPreview" zoomScale="85" zoomScaleNormal="115" zoomScaleSheetLayoutView="85" workbookViewId="0">
      <selection activeCell="I58" sqref="I58"/>
    </sheetView>
  </sheetViews>
  <sheetFormatPr defaultRowHeight="13" x14ac:dyDescent="0.2"/>
  <cols>
    <col min="1" max="1" width="4.26953125" customWidth="1"/>
    <col min="12" max="12" width="8.7265625" customWidth="1"/>
    <col min="13" max="13" width="0.81640625" customWidth="1"/>
  </cols>
  <sheetData>
    <row r="1" spans="1:11" ht="21" x14ac:dyDescent="0.2">
      <c r="A1" s="170" t="s">
        <v>89</v>
      </c>
    </row>
    <row r="3" spans="1:11" x14ac:dyDescent="0.2">
      <c r="B3" s="2"/>
      <c r="C3" s="3" t="s">
        <v>7</v>
      </c>
      <c r="D3" s="5"/>
      <c r="E3" s="3" t="s">
        <v>8</v>
      </c>
      <c r="G3" s="3" t="s">
        <v>15</v>
      </c>
      <c r="I3" s="33"/>
    </row>
    <row r="5" spans="1:11" x14ac:dyDescent="0.2">
      <c r="C5" s="3" t="s">
        <v>13</v>
      </c>
    </row>
    <row r="13" spans="1:11" x14ac:dyDescent="0.2">
      <c r="K13" s="1"/>
    </row>
  </sheetData>
  <phoneticPr fontId="1"/>
  <pageMargins left="0" right="0" top="0.35433070866141736" bottom="0" header="0.31496062992125984" footer="0.31496062992125984"/>
  <pageSetup paperSize="9" orientation="portrait" r:id="rId1"/>
  <headerFooter>
    <oddHeader>&amp;R&amp;P/&amp;N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F314"/>
  <sheetViews>
    <sheetView showGridLines="0" view="pageBreakPreview" zoomScaleNormal="100" zoomScaleSheetLayoutView="100" workbookViewId="0">
      <selection activeCell="V11" sqref="V11"/>
    </sheetView>
  </sheetViews>
  <sheetFormatPr defaultRowHeight="15.5" x14ac:dyDescent="0.2"/>
  <cols>
    <col min="1" max="1" width="1.7265625" style="132" customWidth="1"/>
    <col min="2" max="2" width="23.6328125" style="132" bestFit="1" customWidth="1"/>
    <col min="3" max="3" width="18.81640625" style="132" bestFit="1" customWidth="1"/>
    <col min="4" max="4" width="18" style="132" bestFit="1" customWidth="1"/>
    <col min="5" max="5" width="20.453125" style="132" customWidth="1"/>
    <col min="6" max="6" width="19.26953125" style="132" customWidth="1"/>
    <col min="7" max="11" width="8.7265625" style="132"/>
    <col min="12" max="12" width="3.453125" style="132" customWidth="1"/>
    <col min="13" max="13" width="3.81640625" style="132" customWidth="1"/>
    <col min="14" max="14" width="2.6328125" style="132" customWidth="1"/>
    <col min="15" max="15" width="1.7265625" style="132" customWidth="1"/>
    <col min="16" max="16384" width="8.7265625" style="132"/>
  </cols>
  <sheetData>
    <row r="1" spans="2:6" s="131" customFormat="1" ht="14" x14ac:dyDescent="0.2"/>
    <row r="2" spans="2:6" ht="26" customHeight="1" x14ac:dyDescent="0.2">
      <c r="B2" s="151" t="s">
        <v>269</v>
      </c>
    </row>
    <row r="3" spans="2:6" ht="14" customHeight="1" x14ac:dyDescent="0.2">
      <c r="B3" s="151"/>
    </row>
    <row r="4" spans="2:6" ht="14" customHeight="1" x14ac:dyDescent="0.2">
      <c r="B4" s="151"/>
    </row>
    <row r="5" spans="2:6" ht="14" customHeight="1" x14ac:dyDescent="0.2">
      <c r="B5" s="151"/>
    </row>
    <row r="6" spans="2:6" s="131" customFormat="1" ht="14" x14ac:dyDescent="0.2">
      <c r="B6" s="152" t="s">
        <v>270</v>
      </c>
      <c r="C6" s="199" t="s">
        <v>274</v>
      </c>
      <c r="D6" s="199"/>
      <c r="E6" s="199"/>
      <c r="F6" s="199"/>
    </row>
    <row r="7" spans="2:6" s="131" customFormat="1" ht="18.5" customHeight="1" x14ac:dyDescent="0.2">
      <c r="B7" s="149" t="s">
        <v>271</v>
      </c>
      <c r="C7" s="150" t="s">
        <v>275</v>
      </c>
      <c r="D7" s="150" t="s">
        <v>28</v>
      </c>
      <c r="E7" s="150" t="s">
        <v>272</v>
      </c>
      <c r="F7" s="150" t="s">
        <v>273</v>
      </c>
    </row>
    <row r="8" spans="2:6" s="131" customFormat="1" ht="14" x14ac:dyDescent="0.2">
      <c r="B8" s="147"/>
      <c r="C8" s="145"/>
      <c r="D8" s="145"/>
      <c r="E8" s="145"/>
      <c r="F8" s="145"/>
    </row>
    <row r="9" spans="2:6" s="131" customFormat="1" ht="14" x14ac:dyDescent="0.2">
      <c r="B9" s="147"/>
      <c r="C9" s="145"/>
      <c r="D9" s="145"/>
      <c r="E9" s="145"/>
      <c r="F9" s="145"/>
    </row>
    <row r="10" spans="2:6" s="131" customFormat="1" ht="14" x14ac:dyDescent="0.2">
      <c r="B10" s="147"/>
      <c r="C10" s="145"/>
      <c r="D10" s="145"/>
      <c r="E10" s="145"/>
      <c r="F10" s="145"/>
    </row>
    <row r="11" spans="2:6" s="131" customFormat="1" ht="14" x14ac:dyDescent="0.2">
      <c r="B11" s="147"/>
      <c r="C11" s="145"/>
      <c r="D11" s="145"/>
      <c r="E11" s="145"/>
      <c r="F11" s="145"/>
    </row>
    <row r="12" spans="2:6" s="131" customFormat="1" ht="14" x14ac:dyDescent="0.2">
      <c r="B12" s="147"/>
      <c r="C12" s="145"/>
      <c r="D12" s="145"/>
      <c r="E12" s="145"/>
      <c r="F12" s="145"/>
    </row>
    <row r="13" spans="2:6" s="131" customFormat="1" ht="14" x14ac:dyDescent="0.2">
      <c r="B13" s="147"/>
      <c r="C13" s="145"/>
      <c r="D13" s="145"/>
      <c r="E13" s="145"/>
      <c r="F13" s="145"/>
    </row>
    <row r="14" spans="2:6" s="131" customFormat="1" ht="14" x14ac:dyDescent="0.2">
      <c r="B14" s="147"/>
      <c r="C14" s="145"/>
      <c r="D14" s="145"/>
      <c r="E14" s="145"/>
      <c r="F14" s="145"/>
    </row>
    <row r="15" spans="2:6" s="131" customFormat="1" ht="14" x14ac:dyDescent="0.2">
      <c r="B15" s="147"/>
      <c r="C15" s="145"/>
      <c r="D15" s="145"/>
      <c r="E15" s="145"/>
      <c r="F15" s="145"/>
    </row>
    <row r="16" spans="2:6" s="131" customFormat="1" ht="14" x14ac:dyDescent="0.2">
      <c r="B16" s="147"/>
      <c r="C16" s="145"/>
      <c r="D16" s="145"/>
      <c r="E16" s="145"/>
      <c r="F16" s="145"/>
    </row>
    <row r="17" spans="2:6" s="131" customFormat="1" ht="14" x14ac:dyDescent="0.2">
      <c r="B17" s="147"/>
      <c r="C17" s="145"/>
      <c r="D17" s="145"/>
      <c r="E17" s="145"/>
      <c r="F17" s="145"/>
    </row>
    <row r="18" spans="2:6" s="131" customFormat="1" ht="14" x14ac:dyDescent="0.2">
      <c r="B18" s="147"/>
      <c r="C18" s="145"/>
      <c r="D18" s="145"/>
      <c r="E18" s="145"/>
      <c r="F18" s="145"/>
    </row>
    <row r="19" spans="2:6" s="131" customFormat="1" ht="14" x14ac:dyDescent="0.2">
      <c r="B19" s="147"/>
      <c r="C19" s="145"/>
      <c r="D19" s="145"/>
      <c r="E19" s="145"/>
      <c r="F19" s="145"/>
    </row>
    <row r="20" spans="2:6" s="131" customFormat="1" ht="14" x14ac:dyDescent="0.2">
      <c r="B20" s="147"/>
      <c r="C20" s="145"/>
      <c r="D20" s="145"/>
      <c r="E20" s="145"/>
      <c r="F20" s="145"/>
    </row>
    <row r="21" spans="2:6" s="131" customFormat="1" ht="14" x14ac:dyDescent="0.2">
      <c r="B21" s="147"/>
      <c r="C21" s="145"/>
      <c r="D21" s="145"/>
      <c r="E21" s="145"/>
      <c r="F21" s="145"/>
    </row>
    <row r="22" spans="2:6" s="131" customFormat="1" ht="14" x14ac:dyDescent="0.2">
      <c r="B22" s="147"/>
      <c r="C22" s="145"/>
      <c r="D22" s="145"/>
      <c r="E22" s="145"/>
      <c r="F22" s="145"/>
    </row>
    <row r="23" spans="2:6" s="131" customFormat="1" ht="14" x14ac:dyDescent="0.2">
      <c r="B23" s="147"/>
      <c r="C23" s="145"/>
      <c r="D23" s="145"/>
      <c r="E23" s="145"/>
      <c r="F23" s="145"/>
    </row>
    <row r="24" spans="2:6" s="131" customFormat="1" ht="14" x14ac:dyDescent="0.2">
      <c r="B24" s="147"/>
      <c r="C24" s="145"/>
      <c r="D24" s="145"/>
      <c r="E24" s="145"/>
      <c r="F24" s="145"/>
    </row>
    <row r="25" spans="2:6" s="131" customFormat="1" ht="14" x14ac:dyDescent="0.2">
      <c r="B25" s="147"/>
      <c r="C25" s="145"/>
      <c r="D25" s="145"/>
      <c r="E25" s="145"/>
      <c r="F25" s="145"/>
    </row>
    <row r="26" spans="2:6" s="131" customFormat="1" ht="14" x14ac:dyDescent="0.2">
      <c r="B26" s="147"/>
      <c r="C26" s="145"/>
      <c r="D26" s="145"/>
      <c r="E26" s="145"/>
      <c r="F26" s="145"/>
    </row>
    <row r="27" spans="2:6" s="131" customFormat="1" ht="14" x14ac:dyDescent="0.2">
      <c r="B27" s="147"/>
      <c r="C27" s="145"/>
      <c r="D27" s="145"/>
      <c r="E27" s="145"/>
      <c r="F27" s="145"/>
    </row>
    <row r="28" spans="2:6" s="131" customFormat="1" ht="14" x14ac:dyDescent="0.2">
      <c r="B28" s="147"/>
      <c r="C28" s="145"/>
      <c r="D28" s="145"/>
      <c r="E28" s="145"/>
      <c r="F28" s="145"/>
    </row>
    <row r="29" spans="2:6" s="131" customFormat="1" ht="14" x14ac:dyDescent="0.2">
      <c r="B29" s="147"/>
      <c r="C29" s="145"/>
      <c r="D29" s="145"/>
      <c r="E29" s="145"/>
      <c r="F29" s="145"/>
    </row>
    <row r="30" spans="2:6" s="131" customFormat="1" ht="14" x14ac:dyDescent="0.2">
      <c r="B30" s="147"/>
      <c r="C30" s="145"/>
      <c r="D30" s="145"/>
      <c r="E30" s="145"/>
      <c r="F30" s="145"/>
    </row>
    <row r="31" spans="2:6" s="131" customFormat="1" ht="14" x14ac:dyDescent="0.2">
      <c r="B31" s="147"/>
      <c r="C31" s="145"/>
      <c r="D31" s="145"/>
      <c r="E31" s="145"/>
      <c r="F31" s="145"/>
    </row>
    <row r="32" spans="2:6" s="131" customFormat="1" ht="14" x14ac:dyDescent="0.2">
      <c r="B32" s="147"/>
      <c r="C32" s="145"/>
      <c r="D32" s="145"/>
      <c r="E32" s="145"/>
      <c r="F32" s="145"/>
    </row>
    <row r="33" spans="2:6" s="131" customFormat="1" ht="14" x14ac:dyDescent="0.2">
      <c r="B33" s="147"/>
      <c r="C33" s="145"/>
      <c r="D33" s="145"/>
      <c r="E33" s="145"/>
      <c r="F33" s="145"/>
    </row>
    <row r="34" spans="2:6" s="131" customFormat="1" ht="14" x14ac:dyDescent="0.2">
      <c r="B34" s="147"/>
      <c r="C34" s="145"/>
      <c r="D34" s="145"/>
      <c r="E34" s="145"/>
      <c r="F34" s="145"/>
    </row>
    <row r="35" spans="2:6" s="131" customFormat="1" ht="14" x14ac:dyDescent="0.2">
      <c r="B35" s="147"/>
      <c r="C35" s="145"/>
      <c r="D35" s="145"/>
      <c r="E35" s="145"/>
      <c r="F35" s="145"/>
    </row>
    <row r="36" spans="2:6" s="131" customFormat="1" ht="14" x14ac:dyDescent="0.2">
      <c r="B36" s="147"/>
      <c r="C36" s="145"/>
      <c r="D36" s="145"/>
      <c r="E36" s="145"/>
      <c r="F36" s="145"/>
    </row>
    <row r="37" spans="2:6" s="131" customFormat="1" ht="14" x14ac:dyDescent="0.2">
      <c r="B37" s="147"/>
      <c r="C37" s="145"/>
      <c r="D37" s="145"/>
      <c r="E37" s="145"/>
      <c r="F37" s="145"/>
    </row>
    <row r="38" spans="2:6" s="131" customFormat="1" ht="14" x14ac:dyDescent="0.2">
      <c r="B38" s="147"/>
      <c r="C38" s="145"/>
      <c r="D38" s="145"/>
      <c r="E38" s="145"/>
      <c r="F38" s="145"/>
    </row>
    <row r="39" spans="2:6" s="131" customFormat="1" ht="14" x14ac:dyDescent="0.2">
      <c r="B39" s="147"/>
      <c r="C39" s="145"/>
      <c r="D39" s="145"/>
      <c r="E39" s="145"/>
      <c r="F39" s="145"/>
    </row>
    <row r="40" spans="2:6" s="131" customFormat="1" ht="14" x14ac:dyDescent="0.2">
      <c r="B40" s="147"/>
      <c r="C40" s="145"/>
      <c r="D40" s="145"/>
      <c r="E40" s="145"/>
      <c r="F40" s="145"/>
    </row>
    <row r="41" spans="2:6" s="131" customFormat="1" ht="14" x14ac:dyDescent="0.2">
      <c r="B41" s="147"/>
      <c r="C41" s="145"/>
      <c r="D41" s="145"/>
      <c r="E41" s="145"/>
      <c r="F41" s="145"/>
    </row>
    <row r="42" spans="2:6" s="131" customFormat="1" ht="14" x14ac:dyDescent="0.2">
      <c r="B42" s="147"/>
      <c r="C42" s="145"/>
      <c r="D42" s="145"/>
      <c r="E42" s="145"/>
      <c r="F42" s="145"/>
    </row>
    <row r="43" spans="2:6" s="131" customFormat="1" ht="14" x14ac:dyDescent="0.2">
      <c r="B43" s="147"/>
      <c r="C43" s="145"/>
      <c r="D43" s="145"/>
      <c r="E43" s="145"/>
      <c r="F43" s="145"/>
    </row>
    <row r="44" spans="2:6" s="131" customFormat="1" ht="14" x14ac:dyDescent="0.2">
      <c r="B44" s="147"/>
      <c r="C44" s="145"/>
      <c r="D44" s="145"/>
      <c r="E44" s="145"/>
      <c r="F44" s="145"/>
    </row>
    <row r="45" spans="2:6" s="131" customFormat="1" ht="14" x14ac:dyDescent="0.2">
      <c r="B45" s="147"/>
      <c r="C45" s="145"/>
      <c r="D45" s="145"/>
      <c r="E45" s="145"/>
      <c r="F45" s="145"/>
    </row>
    <row r="46" spans="2:6" s="131" customFormat="1" ht="14" x14ac:dyDescent="0.2">
      <c r="B46" s="147"/>
      <c r="C46" s="145"/>
      <c r="D46" s="145"/>
      <c r="E46" s="145"/>
      <c r="F46" s="145"/>
    </row>
    <row r="47" spans="2:6" s="131" customFormat="1" ht="14" x14ac:dyDescent="0.2">
      <c r="B47" s="147"/>
      <c r="C47" s="145"/>
      <c r="D47" s="145"/>
      <c r="E47" s="145"/>
      <c r="F47" s="145"/>
    </row>
    <row r="48" spans="2:6" s="131" customFormat="1" ht="14" x14ac:dyDescent="0.2">
      <c r="B48" s="148"/>
      <c r="C48" s="146"/>
      <c r="D48" s="146"/>
      <c r="E48" s="146"/>
      <c r="F48" s="146"/>
    </row>
    <row r="49" spans="2:2" s="131" customFormat="1" ht="14" x14ac:dyDescent="0.2"/>
    <row r="50" spans="2:2" s="131" customFormat="1" ht="14" x14ac:dyDescent="0.2"/>
    <row r="51" spans="2:2" s="131" customFormat="1" ht="14" x14ac:dyDescent="0.2"/>
    <row r="52" spans="2:2" s="131" customFormat="1" ht="14" x14ac:dyDescent="0.2"/>
    <row r="53" spans="2:2" s="131" customFormat="1" ht="14" x14ac:dyDescent="0.2">
      <c r="B53" s="141"/>
    </row>
    <row r="54" spans="2:2" s="131" customFormat="1" ht="14" x14ac:dyDescent="0.2">
      <c r="B54" s="141"/>
    </row>
    <row r="55" spans="2:2" s="131" customFormat="1" ht="14" x14ac:dyDescent="0.2">
      <c r="B55" s="138"/>
    </row>
    <row r="56" spans="2:2" s="131" customFormat="1" ht="14" x14ac:dyDescent="0.2">
      <c r="B56" s="142"/>
    </row>
    <row r="57" spans="2:2" s="131" customFormat="1" ht="14" x14ac:dyDescent="0.2">
      <c r="B57" s="138"/>
    </row>
    <row r="58" spans="2:2" x14ac:dyDescent="0.2">
      <c r="B58" s="137"/>
    </row>
    <row r="59" spans="2:2" s="131" customFormat="1" ht="14" x14ac:dyDescent="0.2">
      <c r="B59" s="138"/>
    </row>
    <row r="60" spans="2:2" s="131" customFormat="1" ht="14" x14ac:dyDescent="0.2">
      <c r="B60" s="135"/>
    </row>
    <row r="61" spans="2:2" s="131" customFormat="1" ht="14" x14ac:dyDescent="0.2">
      <c r="B61" s="139"/>
    </row>
    <row r="62" spans="2:2" s="131" customFormat="1" ht="14" x14ac:dyDescent="0.2">
      <c r="B62" s="138"/>
    </row>
    <row r="63" spans="2:2" s="131" customFormat="1" ht="14" x14ac:dyDescent="0.2">
      <c r="B63" s="138"/>
    </row>
    <row r="64" spans="2:2" s="131" customFormat="1" ht="14" x14ac:dyDescent="0.2">
      <c r="B64" s="138"/>
    </row>
    <row r="65" spans="2:2" s="131" customFormat="1" ht="14" x14ac:dyDescent="0.2">
      <c r="B65" s="138"/>
    </row>
    <row r="66" spans="2:2" s="131" customFormat="1" ht="14" x14ac:dyDescent="0.2">
      <c r="B66" s="135"/>
    </row>
    <row r="67" spans="2:2" s="131" customFormat="1" ht="21" x14ac:dyDescent="0.2">
      <c r="B67" s="143"/>
    </row>
    <row r="68" spans="2:2" s="131" customFormat="1" ht="14" x14ac:dyDescent="0.2">
      <c r="B68" s="139"/>
    </row>
    <row r="69" spans="2:2" s="131" customFormat="1" ht="14" x14ac:dyDescent="0.2">
      <c r="B69" s="138"/>
    </row>
    <row r="70" spans="2:2" s="131" customFormat="1" ht="14" x14ac:dyDescent="0.2">
      <c r="B70" s="138"/>
    </row>
    <row r="71" spans="2:2" s="131" customFormat="1" ht="14" x14ac:dyDescent="0.2">
      <c r="B71" s="139"/>
    </row>
    <row r="72" spans="2:2" s="131" customFormat="1" ht="14" x14ac:dyDescent="0.2">
      <c r="B72" s="138"/>
    </row>
    <row r="73" spans="2:2" s="131" customFormat="1" ht="14" x14ac:dyDescent="0.2">
      <c r="B73" s="138"/>
    </row>
    <row r="74" spans="2:2" s="131" customFormat="1" ht="14" x14ac:dyDescent="0.2">
      <c r="B74" s="138"/>
    </row>
    <row r="75" spans="2:2" s="131" customFormat="1" ht="14" x14ac:dyDescent="0.2">
      <c r="B75" s="139"/>
    </row>
    <row r="76" spans="2:2" s="131" customFormat="1" ht="14" x14ac:dyDescent="0.2">
      <c r="B76" s="138"/>
    </row>
    <row r="77" spans="2:2" s="131" customFormat="1" ht="14" x14ac:dyDescent="0.2">
      <c r="B77" s="138"/>
    </row>
    <row r="78" spans="2:2" s="131" customFormat="1" ht="14" x14ac:dyDescent="0.2">
      <c r="B78" s="138"/>
    </row>
    <row r="79" spans="2:2" s="131" customFormat="1" ht="14" x14ac:dyDescent="0.2">
      <c r="B79" s="144"/>
    </row>
    <row r="80" spans="2:2" s="131" customFormat="1" ht="14" x14ac:dyDescent="0.2">
      <c r="B80" s="138"/>
    </row>
    <row r="81" spans="2:2" s="131" customFormat="1" ht="14" x14ac:dyDescent="0.2">
      <c r="B81" s="138"/>
    </row>
    <row r="82" spans="2:2" s="131" customFormat="1" ht="14" x14ac:dyDescent="0.2">
      <c r="B82" s="135"/>
    </row>
    <row r="83" spans="2:2" s="131" customFormat="1" ht="14" x14ac:dyDescent="0.2">
      <c r="B83" s="139"/>
    </row>
    <row r="84" spans="2:2" s="131" customFormat="1" ht="14" x14ac:dyDescent="0.2">
      <c r="B84" s="138"/>
    </row>
    <row r="85" spans="2:2" s="131" customFormat="1" ht="14" x14ac:dyDescent="0.2">
      <c r="B85" s="139"/>
    </row>
    <row r="86" spans="2:2" s="131" customFormat="1" ht="14" x14ac:dyDescent="0.2">
      <c r="B86" s="138"/>
    </row>
    <row r="87" spans="2:2" s="131" customFormat="1" ht="14" x14ac:dyDescent="0.2">
      <c r="B87" s="139"/>
    </row>
    <row r="88" spans="2:2" s="131" customFormat="1" ht="14" x14ac:dyDescent="0.2">
      <c r="B88" s="138"/>
    </row>
    <row r="89" spans="2:2" s="131" customFormat="1" ht="14" x14ac:dyDescent="0.2">
      <c r="B89" s="138"/>
    </row>
    <row r="90" spans="2:2" s="131" customFormat="1" ht="14" x14ac:dyDescent="0.2">
      <c r="B90" s="138"/>
    </row>
    <row r="91" spans="2:2" s="131" customFormat="1" ht="14" x14ac:dyDescent="0.2"/>
    <row r="92" spans="2:2" s="131" customFormat="1" ht="14" x14ac:dyDescent="0.2"/>
    <row r="93" spans="2:2" s="131" customFormat="1" ht="14" x14ac:dyDescent="0.2"/>
    <row r="94" spans="2:2" s="131" customFormat="1" ht="14" x14ac:dyDescent="0.2"/>
    <row r="95" spans="2:2" s="131" customFormat="1" ht="14" x14ac:dyDescent="0.2"/>
    <row r="96" spans="2:2" s="131" customFormat="1" ht="14" x14ac:dyDescent="0.2"/>
    <row r="97" s="131" customFormat="1" ht="14" x14ac:dyDescent="0.2"/>
    <row r="98" s="131" customFormat="1" ht="14" x14ac:dyDescent="0.2"/>
    <row r="99" s="131" customFormat="1" ht="14" x14ac:dyDescent="0.2"/>
    <row r="100" s="131" customFormat="1" ht="14" x14ac:dyDescent="0.2"/>
    <row r="101" s="131" customFormat="1" ht="14" x14ac:dyDescent="0.2"/>
    <row r="102" s="131" customFormat="1" ht="14" x14ac:dyDescent="0.2"/>
    <row r="103" s="131" customFormat="1" ht="14" x14ac:dyDescent="0.2"/>
    <row r="104" s="131" customFormat="1" ht="14" x14ac:dyDescent="0.2"/>
    <row r="105" s="131" customFormat="1" ht="14" x14ac:dyDescent="0.2"/>
    <row r="106" s="131" customFormat="1" ht="14" x14ac:dyDescent="0.2"/>
    <row r="107" s="131" customFormat="1" ht="14" x14ac:dyDescent="0.2"/>
    <row r="108" s="131" customFormat="1" ht="14" x14ac:dyDescent="0.2"/>
    <row r="109" s="131" customFormat="1" ht="14" x14ac:dyDescent="0.2"/>
    <row r="110" s="131" customFormat="1" ht="14" x14ac:dyDescent="0.2"/>
    <row r="111" s="131" customFormat="1" ht="14" x14ac:dyDescent="0.2"/>
    <row r="112" s="131" customFormat="1" ht="14" x14ac:dyDescent="0.2"/>
    <row r="113" s="131" customFormat="1" ht="14" x14ac:dyDescent="0.2"/>
    <row r="114" s="131" customFormat="1" ht="14" x14ac:dyDescent="0.2"/>
    <row r="115" s="131" customFormat="1" ht="14" x14ac:dyDescent="0.2"/>
    <row r="116" s="131" customFormat="1" ht="14" x14ac:dyDescent="0.2"/>
    <row r="117" s="131" customFormat="1" ht="14" x14ac:dyDescent="0.2"/>
    <row r="118" s="131" customFormat="1" ht="14" x14ac:dyDescent="0.2"/>
    <row r="119" s="131" customFormat="1" ht="14" x14ac:dyDescent="0.2"/>
    <row r="120" s="131" customFormat="1" ht="14" x14ac:dyDescent="0.2"/>
    <row r="121" s="131" customFormat="1" ht="14" x14ac:dyDescent="0.2"/>
    <row r="122" s="131" customFormat="1" ht="14" x14ac:dyDescent="0.2"/>
    <row r="123" s="131" customFormat="1" ht="14" x14ac:dyDescent="0.2"/>
    <row r="124" s="131" customFormat="1" ht="14" x14ac:dyDescent="0.2"/>
    <row r="125" s="131" customFormat="1" ht="14" x14ac:dyDescent="0.2"/>
    <row r="126" s="131" customFormat="1" ht="14" x14ac:dyDescent="0.2"/>
    <row r="127" s="131" customFormat="1" ht="14" x14ac:dyDescent="0.2"/>
    <row r="128" s="131" customFormat="1" ht="14" x14ac:dyDescent="0.2"/>
    <row r="129" s="131" customFormat="1" ht="14" x14ac:dyDescent="0.2"/>
    <row r="130" s="131" customFormat="1" ht="14" x14ac:dyDescent="0.2"/>
    <row r="131" s="131" customFormat="1" ht="14" x14ac:dyDescent="0.2"/>
    <row r="132" s="131" customFormat="1" ht="14" x14ac:dyDescent="0.2"/>
    <row r="133" s="131" customFormat="1" ht="14" x14ac:dyDescent="0.2"/>
    <row r="134" s="131" customFormat="1" ht="14" x14ac:dyDescent="0.2"/>
    <row r="135" s="131" customFormat="1" ht="14" x14ac:dyDescent="0.2"/>
    <row r="136" s="131" customFormat="1" ht="14" x14ac:dyDescent="0.2"/>
    <row r="137" s="131" customFormat="1" ht="14" x14ac:dyDescent="0.2"/>
    <row r="138" s="131" customFormat="1" ht="14" x14ac:dyDescent="0.2"/>
    <row r="139" s="131" customFormat="1" ht="14" x14ac:dyDescent="0.2"/>
    <row r="140" s="131" customFormat="1" ht="14" x14ac:dyDescent="0.2"/>
    <row r="141" s="131" customFormat="1" ht="14" x14ac:dyDescent="0.2"/>
    <row r="142" s="131" customFormat="1" ht="14" x14ac:dyDescent="0.2"/>
    <row r="143" s="131" customFormat="1" ht="14" x14ac:dyDescent="0.2"/>
    <row r="144" s="131" customFormat="1" ht="14" x14ac:dyDescent="0.2"/>
    <row r="145" s="131" customFormat="1" ht="14" x14ac:dyDescent="0.2"/>
    <row r="146" s="131" customFormat="1" ht="14" x14ac:dyDescent="0.2"/>
    <row r="147" s="131" customFormat="1" ht="14" x14ac:dyDescent="0.2"/>
    <row r="148" s="131" customFormat="1" ht="14" x14ac:dyDescent="0.2"/>
    <row r="149" s="131" customFormat="1" ht="14" x14ac:dyDescent="0.2"/>
    <row r="150" s="131" customFormat="1" ht="14" x14ac:dyDescent="0.2"/>
    <row r="151" s="131" customFormat="1" ht="14" x14ac:dyDescent="0.2"/>
    <row r="152" s="131" customFormat="1" ht="14" x14ac:dyDescent="0.2"/>
    <row r="153" s="131" customFormat="1" ht="14" x14ac:dyDescent="0.2"/>
    <row r="154" s="131" customFormat="1" ht="14" x14ac:dyDescent="0.2"/>
    <row r="155" s="131" customFormat="1" ht="14" x14ac:dyDescent="0.2"/>
    <row r="156" s="131" customFormat="1" ht="14" x14ac:dyDescent="0.2"/>
    <row r="157" s="131" customFormat="1" ht="14" x14ac:dyDescent="0.2"/>
    <row r="158" s="131" customFormat="1" ht="14" x14ac:dyDescent="0.2"/>
    <row r="159" s="131" customFormat="1" ht="14" x14ac:dyDescent="0.2"/>
    <row r="160" s="131" customFormat="1" ht="14" x14ac:dyDescent="0.2"/>
    <row r="161" s="131" customFormat="1" ht="14" x14ac:dyDescent="0.2"/>
    <row r="162" s="131" customFormat="1" ht="14" x14ac:dyDescent="0.2"/>
    <row r="163" s="131" customFormat="1" ht="14" x14ac:dyDescent="0.2"/>
    <row r="164" s="131" customFormat="1" ht="14" x14ac:dyDescent="0.2"/>
    <row r="165" s="131" customFormat="1" ht="14" x14ac:dyDescent="0.2"/>
    <row r="166" s="131" customFormat="1" ht="14" x14ac:dyDescent="0.2"/>
    <row r="167" s="131" customFormat="1" ht="14" x14ac:dyDescent="0.2"/>
    <row r="168" s="131" customFormat="1" ht="14" x14ac:dyDescent="0.2"/>
    <row r="169" s="131" customFormat="1" ht="14" x14ac:dyDescent="0.2"/>
    <row r="170" s="131" customFormat="1" ht="14" x14ac:dyDescent="0.2"/>
    <row r="171" s="131" customFormat="1" ht="14" x14ac:dyDescent="0.2"/>
    <row r="172" s="131" customFormat="1" ht="14" x14ac:dyDescent="0.2"/>
    <row r="173" s="131" customFormat="1" ht="14" x14ac:dyDescent="0.2"/>
    <row r="174" s="131" customFormat="1" ht="14" x14ac:dyDescent="0.2"/>
    <row r="175" s="131" customFormat="1" ht="14" x14ac:dyDescent="0.2"/>
    <row r="176" s="131" customFormat="1" ht="14" x14ac:dyDescent="0.2"/>
    <row r="177" s="131" customFormat="1" ht="14" x14ac:dyDescent="0.2"/>
    <row r="178" s="131" customFormat="1" ht="14" x14ac:dyDescent="0.2"/>
    <row r="179" s="131" customFormat="1" ht="14" x14ac:dyDescent="0.2"/>
    <row r="180" s="131" customFormat="1" ht="14" x14ac:dyDescent="0.2"/>
    <row r="181" s="131" customFormat="1" ht="14" x14ac:dyDescent="0.2"/>
    <row r="182" s="131" customFormat="1" ht="14" x14ac:dyDescent="0.2"/>
    <row r="183" s="131" customFormat="1" ht="14" x14ac:dyDescent="0.2"/>
    <row r="184" s="131" customFormat="1" ht="14" x14ac:dyDescent="0.2"/>
    <row r="185" s="131" customFormat="1" ht="14" x14ac:dyDescent="0.2"/>
    <row r="186" s="131" customFormat="1" ht="14" x14ac:dyDescent="0.2"/>
    <row r="187" s="131" customFormat="1" ht="14" x14ac:dyDescent="0.2"/>
    <row r="188" s="131" customFormat="1" ht="14" x14ac:dyDescent="0.2"/>
    <row r="189" s="131" customFormat="1" ht="14" x14ac:dyDescent="0.2"/>
    <row r="190" s="131" customFormat="1" ht="14" x14ac:dyDescent="0.2"/>
    <row r="191" s="131" customFormat="1" ht="14" x14ac:dyDescent="0.2"/>
    <row r="192" s="131" customFormat="1" ht="14" x14ac:dyDescent="0.2"/>
    <row r="193" s="131" customFormat="1" ht="14" x14ac:dyDescent="0.2"/>
    <row r="194" s="131" customFormat="1" ht="14" x14ac:dyDescent="0.2"/>
    <row r="195" s="131" customFormat="1" ht="14" x14ac:dyDescent="0.2"/>
    <row r="196" s="131" customFormat="1" ht="14" x14ac:dyDescent="0.2"/>
    <row r="197" s="131" customFormat="1" ht="14" x14ac:dyDescent="0.2"/>
    <row r="198" s="131" customFormat="1" ht="14" x14ac:dyDescent="0.2"/>
    <row r="199" s="131" customFormat="1" ht="14" x14ac:dyDescent="0.2"/>
    <row r="200" s="131" customFormat="1" ht="14" x14ac:dyDescent="0.2"/>
    <row r="201" s="131" customFormat="1" ht="14" x14ac:dyDescent="0.2"/>
    <row r="202" s="131" customFormat="1" ht="14" x14ac:dyDescent="0.2"/>
    <row r="203" s="131" customFormat="1" ht="14" x14ac:dyDescent="0.2"/>
    <row r="204" s="131" customFormat="1" ht="14" x14ac:dyDescent="0.2"/>
    <row r="205" s="131" customFormat="1" ht="14" x14ac:dyDescent="0.2"/>
    <row r="206" s="131" customFormat="1" ht="14" x14ac:dyDescent="0.2"/>
    <row r="207" s="131" customFormat="1" ht="14" x14ac:dyDescent="0.2"/>
    <row r="208" s="131" customFormat="1" ht="14" x14ac:dyDescent="0.2"/>
    <row r="209" s="131" customFormat="1" ht="14" x14ac:dyDescent="0.2"/>
    <row r="210" s="131" customFormat="1" ht="14" x14ac:dyDescent="0.2"/>
    <row r="211" s="131" customFormat="1" ht="14" x14ac:dyDescent="0.2"/>
    <row r="212" s="131" customFormat="1" ht="14" x14ac:dyDescent="0.2"/>
    <row r="213" s="131" customFormat="1" ht="14" x14ac:dyDescent="0.2"/>
    <row r="214" s="131" customFormat="1" ht="14" x14ac:dyDescent="0.2"/>
    <row r="215" s="131" customFormat="1" ht="14" x14ac:dyDescent="0.2"/>
    <row r="216" s="131" customFormat="1" ht="14" x14ac:dyDescent="0.2"/>
    <row r="217" s="131" customFormat="1" ht="14" x14ac:dyDescent="0.2"/>
    <row r="218" s="131" customFormat="1" ht="14" x14ac:dyDescent="0.2"/>
    <row r="219" s="131" customFormat="1" ht="14" x14ac:dyDescent="0.2"/>
    <row r="220" s="131" customFormat="1" ht="14" x14ac:dyDescent="0.2"/>
    <row r="221" s="131" customFormat="1" ht="14" x14ac:dyDescent="0.2"/>
    <row r="222" s="131" customFormat="1" ht="14" x14ac:dyDescent="0.2"/>
    <row r="223" s="131" customFormat="1" ht="14" x14ac:dyDescent="0.2"/>
    <row r="224" s="131" customFormat="1" ht="14" x14ac:dyDescent="0.2"/>
    <row r="225" s="131" customFormat="1" ht="14" x14ac:dyDescent="0.2"/>
    <row r="226" s="131" customFormat="1" ht="14" x14ac:dyDescent="0.2"/>
    <row r="227" s="131" customFormat="1" ht="14" x14ac:dyDescent="0.2"/>
    <row r="228" s="131" customFormat="1" ht="14" x14ac:dyDescent="0.2"/>
    <row r="229" s="131" customFormat="1" ht="14" x14ac:dyDescent="0.2"/>
    <row r="230" s="131" customFormat="1" ht="14" x14ac:dyDescent="0.2"/>
    <row r="231" s="131" customFormat="1" ht="14" x14ac:dyDescent="0.2"/>
    <row r="232" s="131" customFormat="1" ht="14" x14ac:dyDescent="0.2"/>
    <row r="233" s="131" customFormat="1" ht="14" x14ac:dyDescent="0.2"/>
    <row r="234" s="131" customFormat="1" ht="14" x14ac:dyDescent="0.2"/>
    <row r="235" s="131" customFormat="1" ht="14" x14ac:dyDescent="0.2"/>
    <row r="236" s="131" customFormat="1" ht="14" x14ac:dyDescent="0.2"/>
    <row r="237" s="131" customFormat="1" ht="14" x14ac:dyDescent="0.2"/>
    <row r="238" s="131" customFormat="1" ht="14" x14ac:dyDescent="0.2"/>
    <row r="239" s="131" customFormat="1" ht="14" x14ac:dyDescent="0.2"/>
    <row r="240" s="131" customFormat="1" ht="14" x14ac:dyDescent="0.2"/>
    <row r="241" s="131" customFormat="1" ht="14" x14ac:dyDescent="0.2"/>
    <row r="242" s="131" customFormat="1" ht="14" x14ac:dyDescent="0.2"/>
    <row r="243" s="131" customFormat="1" ht="14" x14ac:dyDescent="0.2"/>
    <row r="244" s="131" customFormat="1" ht="14" x14ac:dyDescent="0.2"/>
    <row r="245" s="131" customFormat="1" ht="14" x14ac:dyDescent="0.2"/>
    <row r="246" s="131" customFormat="1" ht="14" x14ac:dyDescent="0.2"/>
    <row r="247" s="131" customFormat="1" ht="14" x14ac:dyDescent="0.2"/>
    <row r="248" s="131" customFormat="1" ht="14" x14ac:dyDescent="0.2"/>
    <row r="249" s="131" customFormat="1" ht="14" x14ac:dyDescent="0.2"/>
    <row r="250" s="131" customFormat="1" ht="14" x14ac:dyDescent="0.2"/>
    <row r="251" s="131" customFormat="1" ht="14" x14ac:dyDescent="0.2"/>
    <row r="252" s="131" customFormat="1" ht="14" x14ac:dyDescent="0.2"/>
    <row r="253" s="131" customFormat="1" ht="14" x14ac:dyDescent="0.2"/>
    <row r="254" s="131" customFormat="1" ht="14" x14ac:dyDescent="0.2"/>
    <row r="255" s="131" customFormat="1" ht="14" x14ac:dyDescent="0.2"/>
    <row r="256" s="131" customFormat="1" ht="14" x14ac:dyDescent="0.2"/>
    <row r="257" s="131" customFormat="1" ht="14" x14ac:dyDescent="0.2"/>
    <row r="258" s="131" customFormat="1" ht="14" x14ac:dyDescent="0.2"/>
    <row r="259" s="131" customFormat="1" ht="14" x14ac:dyDescent="0.2"/>
    <row r="260" s="131" customFormat="1" ht="14" x14ac:dyDescent="0.2"/>
    <row r="261" s="131" customFormat="1" ht="14" x14ac:dyDescent="0.2"/>
    <row r="262" s="131" customFormat="1" ht="14" x14ac:dyDescent="0.2"/>
    <row r="263" s="131" customFormat="1" ht="14" x14ac:dyDescent="0.2"/>
    <row r="264" s="131" customFormat="1" ht="14" x14ac:dyDescent="0.2"/>
    <row r="265" s="131" customFormat="1" ht="14" x14ac:dyDescent="0.2"/>
    <row r="266" s="131" customFormat="1" ht="14" x14ac:dyDescent="0.2"/>
    <row r="267" s="131" customFormat="1" ht="14" x14ac:dyDescent="0.2"/>
    <row r="268" s="131" customFormat="1" ht="14" x14ac:dyDescent="0.2"/>
    <row r="269" s="131" customFormat="1" ht="14" x14ac:dyDescent="0.2"/>
    <row r="270" s="131" customFormat="1" ht="14" x14ac:dyDescent="0.2"/>
    <row r="271" s="131" customFormat="1" ht="14" x14ac:dyDescent="0.2"/>
    <row r="272" s="131" customFormat="1" ht="14" x14ac:dyDescent="0.2"/>
    <row r="273" s="131" customFormat="1" ht="14" x14ac:dyDescent="0.2"/>
    <row r="274" s="131" customFormat="1" ht="14" x14ac:dyDescent="0.2"/>
    <row r="275" s="131" customFormat="1" ht="14" x14ac:dyDescent="0.2"/>
    <row r="276" s="131" customFormat="1" ht="14" x14ac:dyDescent="0.2"/>
    <row r="277" s="131" customFormat="1" ht="14" x14ac:dyDescent="0.2"/>
    <row r="278" s="131" customFormat="1" ht="14" x14ac:dyDescent="0.2"/>
    <row r="279" s="131" customFormat="1" ht="14" x14ac:dyDescent="0.2"/>
    <row r="280" s="131" customFormat="1" ht="14" x14ac:dyDescent="0.2"/>
    <row r="281" s="131" customFormat="1" ht="14" x14ac:dyDescent="0.2"/>
    <row r="282" s="131" customFormat="1" ht="14" x14ac:dyDescent="0.2"/>
    <row r="283" s="131" customFormat="1" ht="14" x14ac:dyDescent="0.2"/>
    <row r="284" s="131" customFormat="1" ht="14" x14ac:dyDescent="0.2"/>
    <row r="285" s="131" customFormat="1" ht="14" x14ac:dyDescent="0.2"/>
    <row r="286" s="131" customFormat="1" ht="14" x14ac:dyDescent="0.2"/>
    <row r="287" s="131" customFormat="1" ht="14" x14ac:dyDescent="0.2"/>
    <row r="288" s="131" customFormat="1" ht="14" x14ac:dyDescent="0.2"/>
    <row r="289" s="131" customFormat="1" ht="14" x14ac:dyDescent="0.2"/>
    <row r="290" s="131" customFormat="1" ht="14" x14ac:dyDescent="0.2"/>
    <row r="291" s="131" customFormat="1" ht="14" x14ac:dyDescent="0.2"/>
    <row r="292" s="131" customFormat="1" ht="14" x14ac:dyDescent="0.2"/>
    <row r="293" s="131" customFormat="1" ht="14" x14ac:dyDescent="0.2"/>
    <row r="294" s="131" customFormat="1" ht="14" x14ac:dyDescent="0.2"/>
    <row r="295" s="131" customFormat="1" ht="14" x14ac:dyDescent="0.2"/>
    <row r="296" s="131" customFormat="1" ht="14" x14ac:dyDescent="0.2"/>
    <row r="297" s="131" customFormat="1" ht="14" x14ac:dyDescent="0.2"/>
    <row r="298" s="131" customFormat="1" ht="14" x14ac:dyDescent="0.2"/>
    <row r="299" s="131" customFormat="1" ht="14" x14ac:dyDescent="0.2"/>
    <row r="300" s="131" customFormat="1" ht="14" x14ac:dyDescent="0.2"/>
    <row r="301" s="131" customFormat="1" ht="14" x14ac:dyDescent="0.2"/>
    <row r="302" s="131" customFormat="1" ht="14" x14ac:dyDescent="0.2"/>
    <row r="303" s="131" customFormat="1" ht="14" x14ac:dyDescent="0.2"/>
    <row r="304" s="131" customFormat="1" ht="14" x14ac:dyDescent="0.2"/>
    <row r="305" s="131" customFormat="1" ht="14" x14ac:dyDescent="0.2"/>
    <row r="306" s="131" customFormat="1" ht="14" x14ac:dyDescent="0.2"/>
    <row r="307" s="131" customFormat="1" ht="14" x14ac:dyDescent="0.2"/>
    <row r="308" s="131" customFormat="1" ht="14" x14ac:dyDescent="0.2"/>
    <row r="309" s="131" customFormat="1" ht="14" x14ac:dyDescent="0.2"/>
    <row r="310" s="131" customFormat="1" ht="14" x14ac:dyDescent="0.2"/>
    <row r="311" s="131" customFormat="1" ht="14" x14ac:dyDescent="0.2"/>
    <row r="312" s="131" customFormat="1" ht="14" x14ac:dyDescent="0.2"/>
    <row r="313" s="131" customFormat="1" ht="14" x14ac:dyDescent="0.2"/>
    <row r="314" s="131" customFormat="1" ht="14" x14ac:dyDescent="0.2"/>
  </sheetData>
  <mergeCells count="1">
    <mergeCell ref="C6:F6"/>
  </mergeCells>
  <phoneticPr fontId="1"/>
  <pageMargins left="0" right="0" top="0.35433070866141736" bottom="0" header="0.31496062992125984" footer="0.31496062992125984"/>
  <pageSetup paperSize="9" orientation="portrait" r:id="rId1"/>
  <headerFooter>
    <oddHeader>&amp;R&amp;P/&amp;N</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0"/>
  <sheetViews>
    <sheetView showGridLines="0" view="pageBreakPreview" zoomScale="130" zoomScaleNormal="100" zoomScaleSheetLayoutView="130" workbookViewId="0">
      <selection activeCell="F16" sqref="F16"/>
    </sheetView>
  </sheetViews>
  <sheetFormatPr defaultRowHeight="13" x14ac:dyDescent="0.2"/>
  <cols>
    <col min="1" max="1" width="5.90625" customWidth="1"/>
  </cols>
  <sheetData>
    <row r="1" spans="1:5" x14ac:dyDescent="0.2">
      <c r="A1" t="s">
        <v>68</v>
      </c>
    </row>
    <row r="3" spans="1:5" x14ac:dyDescent="0.2">
      <c r="B3" t="s">
        <v>69</v>
      </c>
    </row>
    <row r="4" spans="1:5" x14ac:dyDescent="0.2">
      <c r="B4" t="s">
        <v>311</v>
      </c>
    </row>
    <row r="5" spans="1:5" x14ac:dyDescent="0.2">
      <c r="B5" t="s">
        <v>92</v>
      </c>
    </row>
    <row r="7" spans="1:5" x14ac:dyDescent="0.2">
      <c r="E7" s="35" t="s">
        <v>78</v>
      </c>
    </row>
    <row r="8" spans="1:5" x14ac:dyDescent="0.2">
      <c r="B8" t="s">
        <v>91</v>
      </c>
      <c r="C8" s="34">
        <v>2023</v>
      </c>
      <c r="D8" s="34">
        <v>2024</v>
      </c>
      <c r="E8" s="34">
        <v>2024</v>
      </c>
    </row>
    <row r="9" spans="1:5" x14ac:dyDescent="0.2">
      <c r="B9" s="4" t="s">
        <v>18</v>
      </c>
      <c r="C9" s="4">
        <v>20</v>
      </c>
      <c r="D9" s="4">
        <v>20</v>
      </c>
      <c r="E9" s="4">
        <v>20</v>
      </c>
    </row>
    <row r="10" spans="1:5" x14ac:dyDescent="0.2">
      <c r="B10" s="4" t="s">
        <v>49</v>
      </c>
      <c r="C10" s="4">
        <v>8</v>
      </c>
      <c r="D10" s="4">
        <v>8</v>
      </c>
      <c r="E10" s="4">
        <v>8</v>
      </c>
    </row>
    <row r="11" spans="1:5" x14ac:dyDescent="0.2">
      <c r="B11" s="4" t="s">
        <v>48</v>
      </c>
      <c r="C11" s="4">
        <v>896</v>
      </c>
      <c r="D11" s="4">
        <v>986</v>
      </c>
      <c r="E11" s="4">
        <v>986</v>
      </c>
    </row>
    <row r="12" spans="1:5" x14ac:dyDescent="0.2">
      <c r="B12" s="4" t="s">
        <v>50</v>
      </c>
      <c r="C12" s="20">
        <v>1</v>
      </c>
      <c r="D12" s="20">
        <v>1</v>
      </c>
      <c r="E12" s="20">
        <v>1.1000000000000001</v>
      </c>
    </row>
    <row r="13" spans="1:5" x14ac:dyDescent="0.2">
      <c r="B13" s="4" t="s">
        <v>51</v>
      </c>
      <c r="C13" s="21">
        <f t="shared" ref="C13:D13" si="0">C9*C10*C11*(1/C12)</f>
        <v>143360</v>
      </c>
      <c r="D13" s="21">
        <f t="shared" si="0"/>
        <v>157760</v>
      </c>
      <c r="E13" s="21">
        <f>E9*E10*E11*(1/E12)</f>
        <v>143418.18181818182</v>
      </c>
    </row>
    <row r="14" spans="1:5" x14ac:dyDescent="0.2">
      <c r="B14" s="11" t="s">
        <v>64</v>
      </c>
      <c r="C14" s="4">
        <v>0</v>
      </c>
      <c r="D14" s="12">
        <f>D13-C13</f>
        <v>14400</v>
      </c>
      <c r="E14" s="12">
        <f>E13-D13</f>
        <v>-14341.818181818177</v>
      </c>
    </row>
    <row r="19" spans="1:1" x14ac:dyDescent="0.2">
      <c r="A19" s="63" t="s">
        <v>312</v>
      </c>
    </row>
    <row r="20" spans="1:1" x14ac:dyDescent="0.2">
      <c r="A20" s="172" t="s">
        <v>313</v>
      </c>
    </row>
  </sheetData>
  <phoneticPr fontId="1"/>
  <pageMargins left="0" right="0" top="0.35433070866141736" bottom="0" header="0.31496062992125984" footer="0.31496062992125984"/>
  <pageSetup paperSize="9" orientation="portrait" r:id="rId1"/>
  <headerFooter>
    <oddHeader>&amp;R&amp;P/&amp;N</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showGridLines="0" view="pageBreakPreview" zoomScale="115" zoomScaleNormal="100" zoomScaleSheetLayoutView="115" workbookViewId="0">
      <selection activeCell="L18" sqref="L18"/>
    </sheetView>
  </sheetViews>
  <sheetFormatPr defaultRowHeight="13" x14ac:dyDescent="0.2"/>
  <cols>
    <col min="1" max="1" width="2.453125" customWidth="1"/>
    <col min="2" max="2" width="5.1796875" customWidth="1"/>
    <col min="3" max="3" width="7" customWidth="1"/>
    <col min="4" max="4" width="13.36328125" bestFit="1" customWidth="1"/>
    <col min="5" max="5" width="9.1796875" customWidth="1"/>
    <col min="6" max="6" width="35.6328125" bestFit="1" customWidth="1"/>
    <col min="7" max="7" width="9.26953125" customWidth="1"/>
    <col min="8" max="8" width="9.81640625" bestFit="1" customWidth="1"/>
    <col min="9" max="9" width="9.26953125" bestFit="1" customWidth="1"/>
    <col min="10" max="10" width="9.81640625" bestFit="1" customWidth="1"/>
    <col min="12" max="12" width="9" bestFit="1" customWidth="1"/>
  </cols>
  <sheetData>
    <row r="1" spans="1:12" ht="21" x14ac:dyDescent="0.2">
      <c r="A1" s="170" t="s">
        <v>103</v>
      </c>
    </row>
    <row r="3" spans="1:12" x14ac:dyDescent="0.2">
      <c r="B3" s="10" t="s">
        <v>72</v>
      </c>
      <c r="C3" s="10" t="s">
        <v>104</v>
      </c>
      <c r="D3" s="10" t="s">
        <v>66</v>
      </c>
      <c r="E3" s="10" t="s">
        <v>123</v>
      </c>
      <c r="F3" s="10" t="s">
        <v>70</v>
      </c>
      <c r="G3" s="10" t="s">
        <v>19</v>
      </c>
      <c r="H3" s="10" t="s">
        <v>120</v>
      </c>
      <c r="I3" s="10" t="s">
        <v>84</v>
      </c>
    </row>
    <row r="4" spans="1:12" x14ac:dyDescent="0.2">
      <c r="B4" s="7">
        <v>1</v>
      </c>
      <c r="C4" s="7" t="s">
        <v>105</v>
      </c>
      <c r="D4" s="4" t="s">
        <v>79</v>
      </c>
      <c r="E4" s="23" t="s">
        <v>65</v>
      </c>
      <c r="F4" s="4" t="s">
        <v>86</v>
      </c>
      <c r="G4" s="4">
        <v>1</v>
      </c>
      <c r="H4" s="8">
        <v>605000</v>
      </c>
      <c r="I4" s="8">
        <f>G4*H4</f>
        <v>605000</v>
      </c>
    </row>
    <row r="5" spans="1:12" x14ac:dyDescent="0.2">
      <c r="B5" s="7">
        <v>2</v>
      </c>
      <c r="C5" s="7" t="s">
        <v>105</v>
      </c>
      <c r="D5" s="4" t="s">
        <v>87</v>
      </c>
      <c r="E5" s="22" t="s">
        <v>80</v>
      </c>
      <c r="F5" s="4" t="s">
        <v>192</v>
      </c>
      <c r="G5" s="4">
        <v>1</v>
      </c>
      <c r="H5" s="8">
        <v>440000</v>
      </c>
      <c r="I5" s="8">
        <f>G5*H5</f>
        <v>440000</v>
      </c>
      <c r="L5" s="111"/>
    </row>
    <row r="6" spans="1:12" x14ac:dyDescent="0.2">
      <c r="B6" s="7">
        <v>2</v>
      </c>
      <c r="C6" s="7" t="s">
        <v>105</v>
      </c>
      <c r="D6" s="4" t="s">
        <v>87</v>
      </c>
      <c r="E6" s="22" t="s">
        <v>80</v>
      </c>
      <c r="F6" s="4" t="s">
        <v>188</v>
      </c>
      <c r="G6" s="4">
        <v>1</v>
      </c>
      <c r="H6" s="8">
        <v>220000</v>
      </c>
      <c r="I6" s="8">
        <f>G6*H6</f>
        <v>220000</v>
      </c>
    </row>
    <row r="7" spans="1:12" x14ac:dyDescent="0.2">
      <c r="B7" s="7">
        <v>2</v>
      </c>
      <c r="C7" s="7" t="s">
        <v>105</v>
      </c>
      <c r="D7" s="4" t="s">
        <v>87</v>
      </c>
      <c r="E7" s="22" t="s">
        <v>80</v>
      </c>
      <c r="F7" s="4" t="s">
        <v>189</v>
      </c>
      <c r="G7" s="4">
        <v>1</v>
      </c>
      <c r="H7" s="8">
        <v>88000</v>
      </c>
      <c r="I7" s="8">
        <f t="shared" ref="I7:I8" si="0">G7*H7</f>
        <v>88000</v>
      </c>
    </row>
    <row r="8" spans="1:12" x14ac:dyDescent="0.2">
      <c r="B8" s="7">
        <v>2</v>
      </c>
      <c r="C8" s="7" t="s">
        <v>105</v>
      </c>
      <c r="D8" s="4" t="s">
        <v>87</v>
      </c>
      <c r="E8" s="22" t="s">
        <v>80</v>
      </c>
      <c r="F8" s="4" t="s">
        <v>190</v>
      </c>
      <c r="G8" s="4">
        <v>1</v>
      </c>
      <c r="H8" s="8">
        <v>220000</v>
      </c>
      <c r="I8" s="8">
        <f t="shared" si="0"/>
        <v>220000</v>
      </c>
    </row>
    <row r="9" spans="1:12" x14ac:dyDescent="0.2">
      <c r="B9" s="7">
        <v>2</v>
      </c>
      <c r="C9" s="7" t="s">
        <v>105</v>
      </c>
      <c r="D9" s="4" t="s">
        <v>87</v>
      </c>
      <c r="E9" s="22" t="s">
        <v>80</v>
      </c>
      <c r="F9" s="4" t="s">
        <v>191</v>
      </c>
      <c r="G9" s="4">
        <v>1</v>
      </c>
      <c r="H9" s="8">
        <v>220000</v>
      </c>
      <c r="I9" s="8">
        <f>G9*H9</f>
        <v>220000</v>
      </c>
    </row>
    <row r="10" spans="1:12" x14ac:dyDescent="0.2">
      <c r="B10" s="7">
        <v>3</v>
      </c>
      <c r="C10" s="7" t="s">
        <v>105</v>
      </c>
      <c r="D10" s="4" t="s">
        <v>87</v>
      </c>
      <c r="E10" s="51" t="s">
        <v>122</v>
      </c>
      <c r="F10" s="4" t="s">
        <v>121</v>
      </c>
      <c r="G10" s="4">
        <v>5</v>
      </c>
      <c r="H10" s="8">
        <v>8800</v>
      </c>
      <c r="I10" s="8">
        <f t="shared" ref="I10:I11" si="1">G10*H10</f>
        <v>44000</v>
      </c>
    </row>
    <row r="11" spans="1:12" x14ac:dyDescent="0.2">
      <c r="B11" s="7">
        <v>4</v>
      </c>
      <c r="C11" s="7" t="s">
        <v>210</v>
      </c>
      <c r="D11" s="4" t="s">
        <v>219</v>
      </c>
      <c r="E11" s="51" t="s">
        <v>220</v>
      </c>
      <c r="F11" s="4" t="s">
        <v>221</v>
      </c>
      <c r="G11" s="4">
        <v>1</v>
      </c>
      <c r="H11" s="8">
        <v>0</v>
      </c>
      <c r="I11" s="8">
        <f t="shared" si="1"/>
        <v>0</v>
      </c>
    </row>
    <row r="12" spans="1:12" x14ac:dyDescent="0.2">
      <c r="B12" s="7">
        <v>5</v>
      </c>
      <c r="C12" s="7" t="s">
        <v>210</v>
      </c>
      <c r="D12" s="4" t="s">
        <v>211</v>
      </c>
      <c r="E12" s="11" t="s">
        <v>212</v>
      </c>
      <c r="F12" s="4" t="s">
        <v>213</v>
      </c>
      <c r="G12" s="4">
        <v>1</v>
      </c>
      <c r="H12" s="8">
        <v>605000</v>
      </c>
      <c r="I12" s="8">
        <f>G12*H12</f>
        <v>605000</v>
      </c>
      <c r="L12" s="111"/>
    </row>
    <row r="13" spans="1:12" x14ac:dyDescent="0.2">
      <c r="B13" s="50" t="s">
        <v>118</v>
      </c>
      <c r="C13" s="50"/>
      <c r="D13" s="28"/>
      <c r="E13" s="28"/>
      <c r="G13" s="28"/>
      <c r="H13" s="45"/>
      <c r="I13" s="75">
        <f>SUM(I4:I12)</f>
        <v>2442000</v>
      </c>
    </row>
    <row r="14" spans="1:12" x14ac:dyDescent="0.2">
      <c r="B14" t="s">
        <v>71</v>
      </c>
      <c r="C14" s="28"/>
      <c r="D14" s="28"/>
      <c r="E14" s="28"/>
      <c r="G14" s="28"/>
    </row>
    <row r="16" spans="1:12" x14ac:dyDescent="0.2">
      <c r="B16" t="s">
        <v>81</v>
      </c>
    </row>
    <row r="17" spans="2:9" x14ac:dyDescent="0.2">
      <c r="B17" t="s">
        <v>216</v>
      </c>
    </row>
    <row r="18" spans="2:9" x14ac:dyDescent="0.2">
      <c r="B18" t="s">
        <v>106</v>
      </c>
      <c r="H18" s="111"/>
    </row>
    <row r="19" spans="2:9" x14ac:dyDescent="0.2">
      <c r="B19" t="s">
        <v>107</v>
      </c>
    </row>
    <row r="21" spans="2:9" x14ac:dyDescent="0.2">
      <c r="B21" t="s">
        <v>124</v>
      </c>
    </row>
    <row r="22" spans="2:9" x14ac:dyDescent="0.2">
      <c r="B22" t="s">
        <v>215</v>
      </c>
    </row>
    <row r="23" spans="2:9" x14ac:dyDescent="0.2">
      <c r="B23" t="s">
        <v>125</v>
      </c>
    </row>
    <row r="25" spans="2:9" x14ac:dyDescent="0.2">
      <c r="B25" t="s">
        <v>126</v>
      </c>
    </row>
    <row r="27" spans="2:9" x14ac:dyDescent="0.2">
      <c r="B27" s="24" t="s">
        <v>87</v>
      </c>
      <c r="C27" s="25"/>
      <c r="D27" s="25"/>
      <c r="E27" s="25"/>
      <c r="F27" s="25"/>
      <c r="G27" s="25"/>
      <c r="H27" s="25"/>
      <c r="I27" s="26"/>
    </row>
    <row r="28" spans="2:9" x14ac:dyDescent="0.2">
      <c r="B28" s="27"/>
      <c r="C28" s="28" t="s">
        <v>144</v>
      </c>
      <c r="D28" s="28"/>
      <c r="E28" s="28"/>
      <c r="F28" s="28"/>
      <c r="G28" s="28"/>
      <c r="H28" s="28"/>
      <c r="I28" s="29"/>
    </row>
    <row r="29" spans="2:9" x14ac:dyDescent="0.2">
      <c r="B29" s="27"/>
      <c r="C29" s="28"/>
      <c r="D29" s="28"/>
      <c r="E29" s="28"/>
      <c r="F29" s="28"/>
      <c r="G29" s="28"/>
      <c r="H29" s="28"/>
      <c r="I29" s="29"/>
    </row>
    <row r="30" spans="2:9" x14ac:dyDescent="0.2">
      <c r="B30" s="27"/>
      <c r="C30" s="28"/>
      <c r="D30" s="28"/>
      <c r="E30" s="28"/>
      <c r="F30" s="28" t="s">
        <v>0</v>
      </c>
      <c r="G30" s="28"/>
      <c r="H30" s="28"/>
      <c r="I30" s="29"/>
    </row>
    <row r="31" spans="2:9" x14ac:dyDescent="0.2">
      <c r="B31" s="27"/>
      <c r="C31" s="28"/>
      <c r="D31" s="28"/>
      <c r="E31" s="28"/>
      <c r="F31" s="28"/>
      <c r="G31" s="28"/>
      <c r="H31" s="28"/>
      <c r="I31" s="29"/>
    </row>
    <row r="32" spans="2:9" x14ac:dyDescent="0.2">
      <c r="B32" s="27"/>
      <c r="C32" s="28"/>
      <c r="D32" s="28"/>
      <c r="E32" s="28"/>
      <c r="F32" s="28"/>
      <c r="G32" s="28"/>
      <c r="H32" s="28"/>
      <c r="I32" s="29"/>
    </row>
    <row r="33" spans="2:9" x14ac:dyDescent="0.2">
      <c r="B33" s="27"/>
      <c r="C33" s="28"/>
      <c r="D33" s="28"/>
      <c r="E33" s="28"/>
      <c r="F33" s="28"/>
      <c r="G33" s="28"/>
      <c r="H33" s="28"/>
      <c r="I33" s="29"/>
    </row>
    <row r="34" spans="2:9" x14ac:dyDescent="0.2">
      <c r="B34" s="27"/>
      <c r="C34" s="28"/>
      <c r="D34" s="28"/>
      <c r="E34" s="28"/>
      <c r="F34" s="28" t="s">
        <v>1</v>
      </c>
      <c r="G34" s="28"/>
      <c r="H34" s="28"/>
      <c r="I34" s="29"/>
    </row>
    <row r="35" spans="2:9" x14ac:dyDescent="0.2">
      <c r="B35" s="27"/>
      <c r="C35" s="28"/>
      <c r="D35" s="28"/>
      <c r="E35" s="28"/>
      <c r="F35" s="28"/>
      <c r="G35" s="28"/>
      <c r="H35" s="28"/>
      <c r="I35" s="29"/>
    </row>
    <row r="36" spans="2:9" x14ac:dyDescent="0.2">
      <c r="B36" s="27"/>
      <c r="C36" s="28"/>
      <c r="D36" s="28"/>
      <c r="E36" s="28"/>
      <c r="F36" s="28"/>
      <c r="G36" s="28"/>
      <c r="H36" s="28"/>
      <c r="I36" s="29"/>
    </row>
    <row r="37" spans="2:9" x14ac:dyDescent="0.2">
      <c r="B37" s="27"/>
      <c r="C37" s="28"/>
      <c r="D37" s="28"/>
      <c r="E37" s="28"/>
      <c r="F37" s="28"/>
      <c r="G37" s="28"/>
      <c r="H37" s="28"/>
      <c r="I37" s="29"/>
    </row>
    <row r="38" spans="2:9" x14ac:dyDescent="0.2">
      <c r="B38" s="27"/>
      <c r="C38" s="28" t="s">
        <v>143</v>
      </c>
      <c r="D38" s="28"/>
      <c r="E38" s="28"/>
      <c r="F38" s="28" t="s">
        <v>2</v>
      </c>
      <c r="G38" s="28"/>
      <c r="H38" s="28"/>
      <c r="I38" s="29"/>
    </row>
    <row r="39" spans="2:9" x14ac:dyDescent="0.2">
      <c r="B39" s="27"/>
      <c r="C39" s="28"/>
      <c r="D39" s="28"/>
      <c r="E39" s="28"/>
      <c r="F39" s="28"/>
      <c r="G39" s="28"/>
      <c r="H39" s="28"/>
      <c r="I39" s="29"/>
    </row>
    <row r="40" spans="2:9" x14ac:dyDescent="0.2">
      <c r="B40" s="27"/>
      <c r="C40" s="28"/>
      <c r="D40" s="28"/>
      <c r="E40" s="28"/>
      <c r="F40" s="28"/>
      <c r="G40" s="28"/>
      <c r="H40" s="28"/>
      <c r="I40" s="29"/>
    </row>
    <row r="41" spans="2:9" x14ac:dyDescent="0.2">
      <c r="B41" s="27"/>
      <c r="C41" s="28"/>
      <c r="D41" s="28"/>
      <c r="E41" s="28"/>
      <c r="F41" s="28"/>
      <c r="G41" s="28"/>
      <c r="H41" s="28"/>
      <c r="I41" s="29"/>
    </row>
    <row r="42" spans="2:9" x14ac:dyDescent="0.2">
      <c r="B42" s="30"/>
      <c r="C42" s="31"/>
      <c r="D42" s="31"/>
      <c r="E42" s="31"/>
      <c r="F42" s="31"/>
      <c r="G42" s="31"/>
      <c r="H42" s="31"/>
      <c r="I42" s="32"/>
    </row>
    <row r="44" spans="2:9" x14ac:dyDescent="0.2">
      <c r="B44" s="24" t="s">
        <v>88</v>
      </c>
      <c r="C44" s="25"/>
      <c r="D44" s="25"/>
      <c r="E44" s="25"/>
      <c r="F44" s="25"/>
      <c r="G44" s="25"/>
      <c r="H44" s="25"/>
      <c r="I44" s="26"/>
    </row>
    <row r="45" spans="2:9" x14ac:dyDescent="0.2">
      <c r="B45" s="27"/>
      <c r="C45" s="28" t="s">
        <v>166</v>
      </c>
      <c r="D45" s="28"/>
      <c r="E45" s="28"/>
      <c r="F45" s="28"/>
      <c r="G45" s="28"/>
      <c r="H45" s="28"/>
      <c r="I45" s="29"/>
    </row>
    <row r="46" spans="2:9" x14ac:dyDescent="0.2">
      <c r="B46" s="27"/>
      <c r="C46" s="28" t="s">
        <v>167</v>
      </c>
      <c r="D46" s="28"/>
      <c r="E46" s="28"/>
      <c r="F46" s="28"/>
      <c r="G46" s="28"/>
      <c r="H46" s="28"/>
      <c r="I46" s="29"/>
    </row>
    <row r="47" spans="2:9" x14ac:dyDescent="0.2">
      <c r="B47" s="30"/>
      <c r="C47" s="31"/>
      <c r="D47" s="31"/>
      <c r="E47" s="31"/>
      <c r="F47" s="31"/>
      <c r="G47" s="31"/>
      <c r="H47" s="31"/>
      <c r="I47" s="32"/>
    </row>
    <row r="51" spans="2:3" x14ac:dyDescent="0.2">
      <c r="B51" t="s">
        <v>14</v>
      </c>
    </row>
    <row r="52" spans="2:3" x14ac:dyDescent="0.2">
      <c r="B52" t="s">
        <v>76</v>
      </c>
    </row>
    <row r="53" spans="2:3" x14ac:dyDescent="0.2">
      <c r="C53" t="s">
        <v>74</v>
      </c>
    </row>
    <row r="54" spans="2:3" x14ac:dyDescent="0.2">
      <c r="C54" s="63" t="s">
        <v>75</v>
      </c>
    </row>
    <row r="55" spans="2:3" x14ac:dyDescent="0.2">
      <c r="C55" s="63"/>
    </row>
    <row r="57" spans="2:3" x14ac:dyDescent="0.2">
      <c r="B57" t="s">
        <v>77</v>
      </c>
    </row>
    <row r="58" spans="2:3" x14ac:dyDescent="0.2">
      <c r="B58" t="s">
        <v>214</v>
      </c>
    </row>
    <row r="61" spans="2:3" x14ac:dyDescent="0.2">
      <c r="B61" t="s">
        <v>82</v>
      </c>
    </row>
    <row r="62" spans="2:3" x14ac:dyDescent="0.2">
      <c r="C62" t="s">
        <v>83</v>
      </c>
    </row>
    <row r="63" spans="2:3" x14ac:dyDescent="0.2">
      <c r="C63" t="s">
        <v>85</v>
      </c>
    </row>
  </sheetData>
  <phoneticPr fontId="1"/>
  <pageMargins left="0" right="0" top="0.35433070866141736" bottom="0" header="0.31496062992125984" footer="0.31496062992125984"/>
  <pageSetup paperSize="9" orientation="portrait" r:id="rId1"/>
  <headerFooter>
    <oddHeader>&amp;R&amp;P/&amp;N</oddHeader>
  </headerFooter>
  <rowBreaks count="1" manualBreakCount="1">
    <brk id="67" max="8"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P135"/>
  <sheetViews>
    <sheetView view="pageBreakPreview" topLeftCell="A17" zoomScale="70" zoomScaleNormal="100" zoomScaleSheetLayoutView="70" workbookViewId="0">
      <selection activeCell="BD4" sqref="BD4"/>
    </sheetView>
  </sheetViews>
  <sheetFormatPr defaultRowHeight="13" x14ac:dyDescent="0.2"/>
  <cols>
    <col min="1" max="94" width="2.6328125" style="108" customWidth="1"/>
    <col min="95" max="16384" width="8.7265625" style="108"/>
  </cols>
  <sheetData>
    <row r="1" spans="1:15" ht="21" x14ac:dyDescent="0.2">
      <c r="A1" s="151" t="s">
        <v>222</v>
      </c>
    </row>
    <row r="2" spans="1:15" ht="16.5" x14ac:dyDescent="0.2">
      <c r="A2" s="171" t="s">
        <v>308</v>
      </c>
    </row>
    <row r="4" spans="1:15" x14ac:dyDescent="0.2">
      <c r="O4" s="128"/>
    </row>
    <row r="5" spans="1:15" x14ac:dyDescent="0.2">
      <c r="O5" s="128"/>
    </row>
    <row r="6" spans="1:15" x14ac:dyDescent="0.2">
      <c r="O6" s="128"/>
    </row>
    <row r="7" spans="1:15" x14ac:dyDescent="0.2">
      <c r="O7" s="128"/>
    </row>
    <row r="8" spans="1:15" x14ac:dyDescent="0.2">
      <c r="O8" s="128"/>
    </row>
    <row r="9" spans="1:15" x14ac:dyDescent="0.2">
      <c r="O9" s="128"/>
    </row>
    <row r="10" spans="1:15" x14ac:dyDescent="0.2">
      <c r="O10" s="128"/>
    </row>
    <row r="11" spans="1:15" x14ac:dyDescent="0.2">
      <c r="O11" s="128"/>
    </row>
    <row r="12" spans="1:15" x14ac:dyDescent="0.2">
      <c r="O12" s="128"/>
    </row>
    <row r="13" spans="1:15" x14ac:dyDescent="0.2">
      <c r="O13" s="128"/>
    </row>
    <row r="14" spans="1:15" x14ac:dyDescent="0.2">
      <c r="O14" s="128"/>
    </row>
    <row r="15" spans="1:15" x14ac:dyDescent="0.2">
      <c r="O15" s="128"/>
    </row>
    <row r="16" spans="1:15" x14ac:dyDescent="0.2">
      <c r="O16" s="128"/>
    </row>
    <row r="17" spans="15:35" x14ac:dyDescent="0.2">
      <c r="O17" s="128"/>
    </row>
    <row r="18" spans="15:35" x14ac:dyDescent="0.2">
      <c r="O18" s="128"/>
    </row>
    <row r="19" spans="15:35" x14ac:dyDescent="0.2">
      <c r="O19" s="128"/>
    </row>
    <row r="20" spans="15:35" x14ac:dyDescent="0.2">
      <c r="O20" s="128"/>
    </row>
    <row r="21" spans="15:35" x14ac:dyDescent="0.2">
      <c r="O21" s="128"/>
    </row>
    <row r="22" spans="15:35" x14ac:dyDescent="0.2">
      <c r="O22" s="128"/>
    </row>
    <row r="23" spans="15:35" x14ac:dyDescent="0.2">
      <c r="O23" s="128"/>
    </row>
    <row r="24" spans="15:35" x14ac:dyDescent="0.2">
      <c r="O24" s="128"/>
    </row>
    <row r="25" spans="15:35" x14ac:dyDescent="0.2">
      <c r="AI25" s="129"/>
    </row>
    <row r="28" spans="15:35" ht="15.65" customHeight="1" x14ac:dyDescent="0.2"/>
    <row r="29" spans="15:35" ht="15.65" customHeight="1" x14ac:dyDescent="0.2"/>
    <row r="30" spans="15:35" ht="15.65" customHeight="1" x14ac:dyDescent="0.2"/>
    <row r="31" spans="15:35" ht="15.65" customHeight="1" x14ac:dyDescent="0.2"/>
    <row r="32" spans="15:35" ht="15.65" customHeight="1" x14ac:dyDescent="0.2"/>
    <row r="33" spans="37:37" ht="15.65" customHeight="1" x14ac:dyDescent="0.2"/>
    <row r="34" spans="37:37" ht="15.65" customHeight="1" x14ac:dyDescent="0.2"/>
    <row r="35" spans="37:37" ht="15.65" customHeight="1" x14ac:dyDescent="0.2"/>
    <row r="36" spans="37:37" ht="15.65" customHeight="1" x14ac:dyDescent="0.2">
      <c r="AK36"/>
    </row>
    <row r="37" spans="37:37" ht="15.65" customHeight="1" x14ac:dyDescent="0.2"/>
    <row r="38" spans="37:37" ht="15.65" customHeight="1" x14ac:dyDescent="0.2"/>
    <row r="39" spans="37:37" ht="15.65" customHeight="1" x14ac:dyDescent="0.2"/>
    <row r="40" spans="37:37" ht="15.65" customHeight="1" x14ac:dyDescent="0.2"/>
    <row r="41" spans="37:37" ht="15.65" customHeight="1" x14ac:dyDescent="0.2"/>
    <row r="42" spans="37:37" ht="15.65" customHeight="1" x14ac:dyDescent="0.2"/>
    <row r="43" spans="37:37" ht="15.65" customHeight="1" x14ac:dyDescent="0.2"/>
    <row r="44" spans="37:37" ht="15.65" customHeight="1" x14ac:dyDescent="0.2"/>
    <row r="45" spans="37:37" ht="15.65" customHeight="1" x14ac:dyDescent="0.2"/>
    <row r="46" spans="37:37" ht="15.65" customHeight="1" x14ac:dyDescent="0.2"/>
    <row r="47" spans="37:37" ht="15.65" customHeight="1" x14ac:dyDescent="0.2"/>
    <row r="48" spans="37:37" ht="15.65" customHeight="1" x14ac:dyDescent="0.2"/>
    <row r="49" spans="94:94" ht="15.65" customHeight="1" x14ac:dyDescent="0.2"/>
    <row r="50" spans="94:94" ht="15.65" customHeight="1" x14ac:dyDescent="0.2"/>
    <row r="51" spans="94:94" ht="15.65" customHeight="1" x14ac:dyDescent="0.2"/>
    <row r="52" spans="94:94" ht="15.65" customHeight="1" x14ac:dyDescent="0.2"/>
    <row r="53" spans="94:94" ht="15.65" customHeight="1" x14ac:dyDescent="0.2">
      <c r="CP53"/>
    </row>
    <row r="54" spans="94:94" ht="15.65" customHeight="1" x14ac:dyDescent="0.2"/>
    <row r="55" spans="94:94" ht="15.65" customHeight="1" x14ac:dyDescent="0.2"/>
    <row r="56" spans="94:94" ht="15.65" customHeight="1" x14ac:dyDescent="0.2"/>
    <row r="57" spans="94:94" ht="15.65" customHeight="1" x14ac:dyDescent="0.2"/>
    <row r="58" spans="94:94" ht="15.65" customHeight="1" x14ac:dyDescent="0.2"/>
    <row r="59" spans="94:94" ht="15.65" customHeight="1" x14ac:dyDescent="0.2"/>
    <row r="60" spans="94:94" ht="15.65" customHeight="1" x14ac:dyDescent="0.2"/>
    <row r="61" spans="94:94" ht="15.65" customHeight="1" x14ac:dyDescent="0.2"/>
    <row r="62" spans="94:94" ht="15.65" customHeight="1" x14ac:dyDescent="0.2"/>
    <row r="63" spans="94:94" ht="15.65" customHeight="1" x14ac:dyDescent="0.2"/>
    <row r="64" spans="94:94" ht="15.65" customHeight="1" x14ac:dyDescent="0.2"/>
    <row r="65" spans="35:35" ht="15.65" customHeight="1" x14ac:dyDescent="0.2"/>
    <row r="66" spans="35:35" ht="15.65" customHeight="1" x14ac:dyDescent="0.2"/>
    <row r="67" spans="35:35" ht="15.65" customHeight="1" x14ac:dyDescent="0.2">
      <c r="AI67" s="109"/>
    </row>
    <row r="68" spans="35:35" ht="15.65" customHeight="1" x14ac:dyDescent="0.2"/>
    <row r="69" spans="35:35" ht="15.65" customHeight="1" x14ac:dyDescent="0.2"/>
    <row r="70" spans="35:35" ht="15.65" customHeight="1" x14ac:dyDescent="0.2"/>
    <row r="71" spans="35:35" ht="15.65" customHeight="1" x14ac:dyDescent="0.2"/>
    <row r="72" spans="35:35" ht="15.65" customHeight="1" x14ac:dyDescent="0.2"/>
    <row r="73" spans="35:35" ht="15.65" customHeight="1" x14ac:dyDescent="0.2"/>
    <row r="74" spans="35:35" ht="15.65" customHeight="1" x14ac:dyDescent="0.2"/>
    <row r="75" spans="35:35" ht="15.65" customHeight="1" x14ac:dyDescent="0.2"/>
    <row r="76" spans="35:35" ht="15.65" customHeight="1" x14ac:dyDescent="0.2"/>
    <row r="77" spans="35:35" ht="15.65" customHeight="1" x14ac:dyDescent="0.2"/>
    <row r="78" spans="35:35" ht="15.65" customHeight="1" x14ac:dyDescent="0.2"/>
    <row r="79" spans="35:35" ht="15.65" customHeight="1" x14ac:dyDescent="0.2"/>
    <row r="80" spans="35:35" ht="15.65" customHeight="1" x14ac:dyDescent="0.2"/>
    <row r="81" ht="15.65" customHeight="1" x14ac:dyDescent="0.2"/>
    <row r="82" ht="15.65" customHeight="1" x14ac:dyDescent="0.2"/>
    <row r="83" ht="15.65" customHeight="1" x14ac:dyDescent="0.2"/>
    <row r="84" ht="15.65" customHeight="1" x14ac:dyDescent="0.2"/>
    <row r="85" ht="15.65" customHeight="1" x14ac:dyDescent="0.2"/>
    <row r="86" ht="15.65" customHeight="1" x14ac:dyDescent="0.2"/>
    <row r="87" ht="15.65" customHeight="1" x14ac:dyDescent="0.2"/>
    <row r="88" ht="15.65" customHeight="1" x14ac:dyDescent="0.2"/>
    <row r="89" ht="15.65" customHeight="1" x14ac:dyDescent="0.2"/>
    <row r="90" ht="15.65" customHeight="1" x14ac:dyDescent="0.2"/>
    <row r="91" ht="15.65" customHeight="1" x14ac:dyDescent="0.2"/>
    <row r="92" ht="15.65" customHeight="1" x14ac:dyDescent="0.2"/>
    <row r="93" ht="15" customHeight="1" x14ac:dyDescent="0.2"/>
    <row r="94" ht="15" customHeight="1" x14ac:dyDescent="0.2"/>
    <row r="95" ht="15.65" customHeight="1" x14ac:dyDescent="0.2"/>
    <row r="96" ht="15.65" customHeight="1" x14ac:dyDescent="0.2"/>
    <row r="97" ht="15.65" customHeight="1" x14ac:dyDescent="0.2"/>
    <row r="98" ht="15.65" customHeight="1" x14ac:dyDescent="0.2"/>
    <row r="99" ht="15.65" customHeight="1" x14ac:dyDescent="0.2"/>
    <row r="100" ht="15.65" customHeight="1" x14ac:dyDescent="0.2"/>
    <row r="101" ht="15.65" customHeight="1" x14ac:dyDescent="0.2"/>
    <row r="102" ht="15.65" customHeight="1" x14ac:dyDescent="0.2"/>
    <row r="103" ht="15.65" customHeight="1" x14ac:dyDescent="0.2"/>
    <row r="104" ht="15.65" customHeight="1" x14ac:dyDescent="0.2"/>
    <row r="105" ht="15.65" customHeight="1" x14ac:dyDescent="0.2"/>
    <row r="106" ht="15.65" customHeight="1" x14ac:dyDescent="0.2"/>
    <row r="107" ht="15.65" customHeight="1" x14ac:dyDescent="0.2"/>
    <row r="108" ht="15.65" customHeight="1" x14ac:dyDescent="0.2"/>
    <row r="109" ht="15.65" customHeight="1" x14ac:dyDescent="0.2"/>
    <row r="110" ht="15.65" customHeight="1" x14ac:dyDescent="0.2"/>
    <row r="111" ht="15.65" customHeight="1" x14ac:dyDescent="0.2"/>
    <row r="112" ht="15.65" customHeight="1" x14ac:dyDescent="0.2"/>
    <row r="113" ht="15.65" customHeight="1" x14ac:dyDescent="0.2"/>
    <row r="114" ht="15.65" customHeight="1" x14ac:dyDescent="0.2"/>
    <row r="115" ht="15.65" customHeight="1" x14ac:dyDescent="0.2"/>
    <row r="116" ht="15.65" customHeight="1" x14ac:dyDescent="0.2"/>
    <row r="117" ht="15.65" customHeight="1" x14ac:dyDescent="0.2"/>
    <row r="118" ht="15.65" customHeight="1" x14ac:dyDescent="0.2"/>
    <row r="119" ht="15.65" customHeight="1" x14ac:dyDescent="0.2"/>
    <row r="120" ht="15.65" customHeight="1" x14ac:dyDescent="0.2"/>
    <row r="121" ht="15.65" customHeight="1" x14ac:dyDescent="0.2"/>
    <row r="122" ht="15.65" customHeight="1" x14ac:dyDescent="0.2"/>
    <row r="123" ht="15.65" customHeight="1" x14ac:dyDescent="0.2"/>
    <row r="124" ht="15.65" customHeight="1" x14ac:dyDescent="0.2"/>
    <row r="125" ht="15.65" customHeight="1" x14ac:dyDescent="0.2"/>
    <row r="126" ht="15.65" customHeight="1" x14ac:dyDescent="0.2"/>
    <row r="127" ht="15.65" customHeight="1" x14ac:dyDescent="0.2"/>
    <row r="128" ht="15.65" customHeight="1" x14ac:dyDescent="0.2"/>
    <row r="129" ht="15.65" customHeight="1" x14ac:dyDescent="0.2"/>
    <row r="130" ht="15.65" customHeight="1" x14ac:dyDescent="0.2"/>
    <row r="131" ht="15.65" customHeight="1" x14ac:dyDescent="0.2"/>
    <row r="132" ht="15.65" customHeight="1" x14ac:dyDescent="0.2"/>
    <row r="133" ht="15.65" customHeight="1" x14ac:dyDescent="0.2"/>
    <row r="134" ht="15.65" customHeight="1" x14ac:dyDescent="0.2"/>
    <row r="135" ht="15.65" customHeight="1" x14ac:dyDescent="0.2"/>
  </sheetData>
  <phoneticPr fontId="1"/>
  <pageMargins left="0" right="0" top="0.35433070866141736" bottom="0" header="0.31496062992125984" footer="0.31496062992125984"/>
  <pageSetup paperSize="8" scale="70" orientation="portrait" r:id="rId1"/>
  <headerFooter>
    <oddHeader>&amp;R&amp;P/&amp;N</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71"/>
  <sheetViews>
    <sheetView showGridLines="0" view="pageBreakPreview" topLeftCell="A3" zoomScale="130" zoomScaleNormal="145" zoomScaleSheetLayoutView="130" workbookViewId="0">
      <selection activeCell="B21" sqref="B21:H21"/>
    </sheetView>
  </sheetViews>
  <sheetFormatPr defaultRowHeight="13" x14ac:dyDescent="0.2"/>
  <cols>
    <col min="1" max="1" width="1.36328125" customWidth="1"/>
    <col min="2" max="2" width="12.6328125" bestFit="1" customWidth="1"/>
    <col min="4" max="4" width="9.81640625" bestFit="1" customWidth="1"/>
    <col min="5" max="5" width="19" bestFit="1" customWidth="1"/>
    <col min="7" max="7" width="19.7265625" bestFit="1" customWidth="1"/>
    <col min="8" max="8" width="19.36328125" bestFit="1" customWidth="1"/>
    <col min="9" max="9" width="11.08984375" bestFit="1" customWidth="1"/>
    <col min="10" max="10" width="14.81640625" customWidth="1"/>
    <col min="11" max="11" width="0" hidden="1" customWidth="1"/>
    <col min="12" max="12" width="10.36328125" hidden="1" customWidth="1"/>
    <col min="13" max="13" width="8.81640625" customWidth="1"/>
    <col min="14" max="14" width="9.81640625" bestFit="1" customWidth="1"/>
    <col min="15" max="15" width="9.81640625" customWidth="1"/>
    <col min="16" max="16" width="2.6328125" customWidth="1"/>
  </cols>
  <sheetData>
    <row r="1" spans="1:16" x14ac:dyDescent="0.2">
      <c r="A1" t="s">
        <v>73</v>
      </c>
    </row>
    <row r="2" spans="1:16" x14ac:dyDescent="0.2">
      <c r="L2" s="69"/>
    </row>
    <row r="3" spans="1:16" x14ac:dyDescent="0.2">
      <c r="B3" s="10" t="s">
        <v>17</v>
      </c>
      <c r="C3" s="10" t="s">
        <v>194</v>
      </c>
      <c r="D3" s="10" t="s">
        <v>193</v>
      </c>
      <c r="E3" s="10" t="s">
        <v>32</v>
      </c>
      <c r="N3" s="111"/>
      <c r="O3" s="111"/>
      <c r="P3" s="111"/>
    </row>
    <row r="4" spans="1:16" x14ac:dyDescent="0.2">
      <c r="B4" s="4" t="s">
        <v>28</v>
      </c>
      <c r="C4" s="4">
        <v>1</v>
      </c>
      <c r="D4" s="4">
        <v>1</v>
      </c>
      <c r="E4" s="8">
        <f>SUMPRODUCT(($B$15:$B$36=B4)*$C$15:$C$36*$F$15:$F$36*D4)</f>
        <v>204600.00000000003</v>
      </c>
    </row>
    <row r="5" spans="1:16" x14ac:dyDescent="0.2">
      <c r="B5" s="13" t="s">
        <v>35</v>
      </c>
      <c r="C5" s="13">
        <v>1</v>
      </c>
      <c r="D5" s="13">
        <v>1</v>
      </c>
      <c r="E5" s="14">
        <f t="shared" ref="E5:E10" si="0">SUMPRODUCT(($B$15:$B$36=B5)*$C$15:$C$36*$F$15:$F$36*D5)</f>
        <v>74140</v>
      </c>
    </row>
    <row r="6" spans="1:16" x14ac:dyDescent="0.2">
      <c r="B6" s="4" t="s">
        <v>58</v>
      </c>
      <c r="C6" s="4">
        <v>1</v>
      </c>
      <c r="D6" s="4">
        <v>1</v>
      </c>
      <c r="E6" s="8">
        <f t="shared" si="0"/>
        <v>43780</v>
      </c>
    </row>
    <row r="7" spans="1:16" x14ac:dyDescent="0.2">
      <c r="B7" s="13" t="s">
        <v>16</v>
      </c>
      <c r="C7" s="13">
        <v>10</v>
      </c>
      <c r="D7" s="13">
        <v>6</v>
      </c>
      <c r="E7" s="14">
        <f t="shared" si="0"/>
        <v>852954.00000000012</v>
      </c>
    </row>
    <row r="8" spans="1:16" x14ac:dyDescent="0.2">
      <c r="B8" s="4" t="s">
        <v>4</v>
      </c>
      <c r="C8" s="4">
        <v>5</v>
      </c>
      <c r="D8" s="4">
        <v>0</v>
      </c>
      <c r="E8" s="8">
        <f t="shared" si="0"/>
        <v>0</v>
      </c>
    </row>
    <row r="9" spans="1:16" x14ac:dyDescent="0.2">
      <c r="B9" s="13" t="s">
        <v>6</v>
      </c>
      <c r="C9" s="13">
        <v>3</v>
      </c>
      <c r="D9" s="13">
        <v>0</v>
      </c>
      <c r="E9" s="14">
        <f t="shared" si="0"/>
        <v>0</v>
      </c>
    </row>
    <row r="10" spans="1:16" x14ac:dyDescent="0.2">
      <c r="B10" s="4" t="s">
        <v>9</v>
      </c>
      <c r="C10" s="4">
        <v>1</v>
      </c>
      <c r="D10" s="4">
        <v>1</v>
      </c>
      <c r="E10" s="8">
        <f t="shared" si="0"/>
        <v>123360.00000000001</v>
      </c>
    </row>
    <row r="11" spans="1:16" x14ac:dyDescent="0.2">
      <c r="E11" s="12">
        <f>SUM(E4:E10)</f>
        <v>1298834</v>
      </c>
    </row>
    <row r="13" spans="1:16" x14ac:dyDescent="0.2">
      <c r="B13" t="s">
        <v>45</v>
      </c>
      <c r="I13" t="s">
        <v>111</v>
      </c>
      <c r="K13" s="110" t="s">
        <v>169</v>
      </c>
      <c r="L13" s="69"/>
      <c r="M13" s="200" t="s">
        <v>206</v>
      </c>
      <c r="N13" s="200"/>
      <c r="O13" s="162"/>
      <c r="P13" s="162"/>
    </row>
    <row r="14" spans="1:16" x14ac:dyDescent="0.2">
      <c r="B14" s="10" t="s">
        <v>17</v>
      </c>
      <c r="C14" s="10" t="s">
        <v>19</v>
      </c>
      <c r="D14" s="10" t="s">
        <v>22</v>
      </c>
      <c r="E14" s="10" t="s">
        <v>21</v>
      </c>
      <c r="F14" s="10" t="s">
        <v>23</v>
      </c>
      <c r="G14" s="10" t="s">
        <v>20</v>
      </c>
      <c r="H14" s="10" t="s">
        <v>26</v>
      </c>
      <c r="I14" s="10" t="s">
        <v>56</v>
      </c>
      <c r="J14" s="57" t="s">
        <v>27</v>
      </c>
      <c r="K14" s="52" t="s">
        <v>62</v>
      </c>
      <c r="L14" s="114" t="s">
        <v>32</v>
      </c>
      <c r="M14" s="120" t="s">
        <v>62</v>
      </c>
      <c r="N14" s="10" t="s">
        <v>32</v>
      </c>
      <c r="O14" s="163"/>
      <c r="P14" s="163"/>
    </row>
    <row r="15" spans="1:16" x14ac:dyDescent="0.2">
      <c r="B15" s="4" t="s">
        <v>28</v>
      </c>
      <c r="C15" s="4">
        <v>1</v>
      </c>
      <c r="D15" s="4" t="s">
        <v>33</v>
      </c>
      <c r="E15" s="4" t="s">
        <v>34</v>
      </c>
      <c r="F15" s="8">
        <v>204600.00000000003</v>
      </c>
      <c r="G15" s="4" t="s">
        <v>201</v>
      </c>
      <c r="H15" s="9" t="s">
        <v>43</v>
      </c>
      <c r="I15" s="64">
        <v>20</v>
      </c>
      <c r="J15" s="58"/>
      <c r="K15" s="53">
        <f t="shared" ref="K15:K36" si="1">VLOOKUP($B15,$B$4:$E$10,2,0)*$C15</f>
        <v>1</v>
      </c>
      <c r="L15" s="115">
        <f>$F15*K15</f>
        <v>204600.00000000003</v>
      </c>
      <c r="M15" s="121">
        <f t="shared" ref="M15:M20" si="2">VLOOKUP($B15,$B$4:$E$10,2,0)*$C15</f>
        <v>1</v>
      </c>
      <c r="N15" s="127">
        <f>$F15*M15</f>
        <v>204600.00000000003</v>
      </c>
      <c r="O15" s="164"/>
      <c r="P15" s="164"/>
    </row>
    <row r="16" spans="1:16" x14ac:dyDescent="0.2">
      <c r="B16" s="13" t="s">
        <v>35</v>
      </c>
      <c r="C16" s="13">
        <v>1</v>
      </c>
      <c r="D16" s="13" t="s">
        <v>36</v>
      </c>
      <c r="E16" s="13" t="s">
        <v>37</v>
      </c>
      <c r="F16" s="14">
        <v>32780</v>
      </c>
      <c r="G16" s="13" t="s">
        <v>110</v>
      </c>
      <c r="H16" s="15" t="s">
        <v>42</v>
      </c>
      <c r="I16" s="65">
        <v>11</v>
      </c>
      <c r="J16" s="59"/>
      <c r="K16" s="54">
        <f t="shared" si="1"/>
        <v>1</v>
      </c>
      <c r="L16" s="116">
        <f t="shared" ref="L16:N36" si="3">$F16*K16</f>
        <v>32780</v>
      </c>
      <c r="M16" s="122">
        <f t="shared" si="2"/>
        <v>1</v>
      </c>
      <c r="N16" s="14">
        <f t="shared" si="3"/>
        <v>32780</v>
      </c>
      <c r="O16" s="165">
        <v>1</v>
      </c>
      <c r="P16" s="165"/>
    </row>
    <row r="17" spans="2:17" x14ac:dyDescent="0.2">
      <c r="B17" s="13" t="s">
        <v>35</v>
      </c>
      <c r="C17" s="13">
        <v>1</v>
      </c>
      <c r="D17" s="13" t="s">
        <v>38</v>
      </c>
      <c r="E17" s="13" t="s">
        <v>39</v>
      </c>
      <c r="F17" s="14">
        <v>14080.000000000002</v>
      </c>
      <c r="G17" s="13" t="s">
        <v>203</v>
      </c>
      <c r="H17" s="15" t="s">
        <v>41</v>
      </c>
      <c r="I17" s="65">
        <v>0</v>
      </c>
      <c r="J17" s="59" t="s">
        <v>52</v>
      </c>
      <c r="K17" s="54">
        <f t="shared" si="1"/>
        <v>1</v>
      </c>
      <c r="L17" s="116">
        <f t="shared" si="3"/>
        <v>14080.000000000002</v>
      </c>
      <c r="M17" s="122">
        <f t="shared" si="2"/>
        <v>1</v>
      </c>
      <c r="N17" s="14">
        <f t="shared" si="3"/>
        <v>14080.000000000002</v>
      </c>
      <c r="O17" s="165">
        <v>1</v>
      </c>
      <c r="P17" s="165"/>
    </row>
    <row r="18" spans="2:17" x14ac:dyDescent="0.2">
      <c r="B18" s="13" t="s">
        <v>35</v>
      </c>
      <c r="C18" s="13">
        <v>1</v>
      </c>
      <c r="D18" s="13" t="s">
        <v>46</v>
      </c>
      <c r="E18" s="13" t="s">
        <v>47</v>
      </c>
      <c r="F18" s="14">
        <v>16500</v>
      </c>
      <c r="G18" s="13" t="s">
        <v>204</v>
      </c>
      <c r="H18" s="15" t="s">
        <v>40</v>
      </c>
      <c r="I18" s="65">
        <v>0</v>
      </c>
      <c r="J18" s="59"/>
      <c r="K18" s="54">
        <f t="shared" si="1"/>
        <v>1</v>
      </c>
      <c r="L18" s="116">
        <f t="shared" si="3"/>
        <v>16500</v>
      </c>
      <c r="M18" s="122">
        <f t="shared" si="2"/>
        <v>1</v>
      </c>
      <c r="N18" s="14">
        <f t="shared" si="3"/>
        <v>16500</v>
      </c>
      <c r="O18" s="165">
        <v>1</v>
      </c>
      <c r="P18" s="165"/>
    </row>
    <row r="19" spans="2:17" x14ac:dyDescent="0.2">
      <c r="B19" s="13" t="s">
        <v>35</v>
      </c>
      <c r="C19" s="13">
        <v>1</v>
      </c>
      <c r="D19" s="13" t="s">
        <v>55</v>
      </c>
      <c r="E19" s="13" t="s">
        <v>195</v>
      </c>
      <c r="F19" s="14">
        <v>10780</v>
      </c>
      <c r="G19" s="13" t="s">
        <v>205</v>
      </c>
      <c r="H19" s="15" t="s">
        <v>53</v>
      </c>
      <c r="I19" s="65">
        <v>0</v>
      </c>
      <c r="J19" s="59" t="s">
        <v>54</v>
      </c>
      <c r="K19" s="54">
        <f t="shared" si="1"/>
        <v>1</v>
      </c>
      <c r="L19" s="116">
        <f t="shared" si="3"/>
        <v>10780</v>
      </c>
      <c r="M19" s="122">
        <f t="shared" si="2"/>
        <v>1</v>
      </c>
      <c r="N19" s="14">
        <f t="shared" si="3"/>
        <v>10780</v>
      </c>
      <c r="O19" s="165">
        <v>1</v>
      </c>
      <c r="P19" s="165"/>
    </row>
    <row r="20" spans="2:17" x14ac:dyDescent="0.2">
      <c r="B20" s="4" t="s">
        <v>58</v>
      </c>
      <c r="C20" s="4">
        <v>1</v>
      </c>
      <c r="D20" s="4" t="s">
        <v>59</v>
      </c>
      <c r="E20" s="4" t="s">
        <v>60</v>
      </c>
      <c r="F20" s="8">
        <v>43780</v>
      </c>
      <c r="G20" s="4" t="s">
        <v>199</v>
      </c>
      <c r="H20" s="9" t="s">
        <v>57</v>
      </c>
      <c r="I20" s="64">
        <v>15</v>
      </c>
      <c r="J20" s="58" t="s">
        <v>61</v>
      </c>
      <c r="K20" s="53">
        <f t="shared" si="1"/>
        <v>1</v>
      </c>
      <c r="L20" s="115">
        <f t="shared" si="3"/>
        <v>43780</v>
      </c>
      <c r="M20" s="121">
        <f t="shared" si="2"/>
        <v>1</v>
      </c>
      <c r="N20" s="8">
        <f t="shared" si="3"/>
        <v>43780</v>
      </c>
      <c r="O20" s="45">
        <v>1</v>
      </c>
      <c r="P20" s="45"/>
    </row>
    <row r="21" spans="2:17" x14ac:dyDescent="0.2">
      <c r="B21" s="13" t="s">
        <v>16</v>
      </c>
      <c r="C21" s="13">
        <v>1</v>
      </c>
      <c r="D21" s="13" t="s">
        <v>130</v>
      </c>
      <c r="E21" s="13" t="s">
        <v>24</v>
      </c>
      <c r="F21" s="14">
        <v>96800.000000000015</v>
      </c>
      <c r="G21" s="13" t="s">
        <v>142</v>
      </c>
      <c r="H21" s="15" t="s">
        <v>127</v>
      </c>
      <c r="I21" s="66">
        <v>15</v>
      </c>
      <c r="J21" s="59" t="s">
        <v>136</v>
      </c>
      <c r="K21" s="54">
        <f t="shared" si="1"/>
        <v>10</v>
      </c>
      <c r="L21" s="116">
        <f t="shared" si="3"/>
        <v>968000.00000000012</v>
      </c>
      <c r="M21" s="122">
        <v>6</v>
      </c>
      <c r="N21" s="127">
        <f t="shared" si="3"/>
        <v>580800.00000000012</v>
      </c>
      <c r="O21" s="164"/>
      <c r="P21" s="164"/>
      <c r="Q21" t="s">
        <v>202</v>
      </c>
    </row>
    <row r="22" spans="2:17" x14ac:dyDescent="0.2">
      <c r="B22" s="13" t="s">
        <v>16</v>
      </c>
      <c r="C22" s="13">
        <v>1</v>
      </c>
      <c r="D22" s="13" t="s">
        <v>133</v>
      </c>
      <c r="E22" s="13" t="s">
        <v>128</v>
      </c>
      <c r="F22" s="14">
        <v>1760.0000000000002</v>
      </c>
      <c r="G22" s="13" t="s">
        <v>135</v>
      </c>
      <c r="H22" s="15" t="s">
        <v>131</v>
      </c>
      <c r="I22" s="66">
        <v>0</v>
      </c>
      <c r="J22" s="59"/>
      <c r="K22" s="54">
        <f t="shared" si="1"/>
        <v>10</v>
      </c>
      <c r="L22" s="116">
        <f t="shared" si="3"/>
        <v>17600.000000000004</v>
      </c>
      <c r="M22" s="122">
        <v>6</v>
      </c>
      <c r="N22" s="14">
        <f t="shared" si="3"/>
        <v>10560.000000000002</v>
      </c>
      <c r="O22" s="165">
        <v>1</v>
      </c>
      <c r="P22" s="165"/>
      <c r="Q22" t="s">
        <v>202</v>
      </c>
    </row>
    <row r="23" spans="2:17" x14ac:dyDescent="0.2">
      <c r="B23" s="13" t="s">
        <v>16</v>
      </c>
      <c r="C23" s="13">
        <v>1</v>
      </c>
      <c r="D23" s="13" t="s">
        <v>292</v>
      </c>
      <c r="E23" s="13" t="s">
        <v>180</v>
      </c>
      <c r="F23" s="14">
        <v>24800</v>
      </c>
      <c r="G23" s="13" t="s">
        <v>294</v>
      </c>
      <c r="H23" s="15" t="s">
        <v>296</v>
      </c>
      <c r="I23" s="65">
        <v>0</v>
      </c>
      <c r="J23" s="59"/>
      <c r="K23" s="54">
        <f t="shared" si="1"/>
        <v>10</v>
      </c>
      <c r="L23" s="116">
        <f t="shared" si="3"/>
        <v>248000</v>
      </c>
      <c r="M23" s="122">
        <v>6</v>
      </c>
      <c r="N23" s="14">
        <f t="shared" si="3"/>
        <v>148800</v>
      </c>
      <c r="O23" s="165">
        <v>1</v>
      </c>
      <c r="P23" s="165"/>
      <c r="Q23" t="s">
        <v>202</v>
      </c>
    </row>
    <row r="24" spans="2:17" x14ac:dyDescent="0.2">
      <c r="B24" s="16" t="s">
        <v>90</v>
      </c>
      <c r="C24" s="17">
        <v>1</v>
      </c>
      <c r="D24" s="17" t="s">
        <v>98</v>
      </c>
      <c r="E24" s="17" t="s">
        <v>96</v>
      </c>
      <c r="F24" s="18">
        <v>15136.000000000002</v>
      </c>
      <c r="G24" s="17" t="s">
        <v>186</v>
      </c>
      <c r="H24" s="19"/>
      <c r="I24" s="65">
        <v>0</v>
      </c>
      <c r="J24" s="60"/>
      <c r="K24" s="55">
        <f t="shared" si="1"/>
        <v>10</v>
      </c>
      <c r="L24" s="117">
        <f t="shared" si="3"/>
        <v>151360.00000000003</v>
      </c>
      <c r="M24" s="123">
        <v>6</v>
      </c>
      <c r="N24" s="62">
        <f t="shared" si="3"/>
        <v>90816.000000000015</v>
      </c>
      <c r="O24" s="166">
        <v>1</v>
      </c>
      <c r="P24" s="166"/>
      <c r="Q24" t="s">
        <v>202</v>
      </c>
    </row>
    <row r="25" spans="2:17" x14ac:dyDescent="0.2">
      <c r="B25" s="16" t="s">
        <v>90</v>
      </c>
      <c r="C25" s="17">
        <v>0</v>
      </c>
      <c r="D25" s="17" t="s">
        <v>98</v>
      </c>
      <c r="E25" s="17" t="s">
        <v>97</v>
      </c>
      <c r="F25" s="18">
        <v>3870</v>
      </c>
      <c r="G25" s="17" t="s">
        <v>102</v>
      </c>
      <c r="H25" s="19"/>
      <c r="I25" s="65">
        <v>0</v>
      </c>
      <c r="J25" s="60"/>
      <c r="K25" s="55">
        <f t="shared" si="1"/>
        <v>0</v>
      </c>
      <c r="L25" s="117">
        <f t="shared" si="3"/>
        <v>0</v>
      </c>
      <c r="M25" s="123">
        <v>0</v>
      </c>
      <c r="N25" s="62">
        <f t="shared" si="3"/>
        <v>0</v>
      </c>
      <c r="O25" s="166">
        <v>1</v>
      </c>
      <c r="P25" s="166"/>
      <c r="Q25" t="s">
        <v>202</v>
      </c>
    </row>
    <row r="26" spans="2:17" x14ac:dyDescent="0.2">
      <c r="B26" s="16" t="s">
        <v>90</v>
      </c>
      <c r="C26" s="17">
        <v>1</v>
      </c>
      <c r="D26" s="17" t="s">
        <v>98</v>
      </c>
      <c r="E26" s="17" t="s">
        <v>97</v>
      </c>
      <c r="F26" s="18">
        <v>3663</v>
      </c>
      <c r="G26" s="169">
        <v>937387</v>
      </c>
      <c r="H26" s="19"/>
      <c r="I26" s="65">
        <v>0</v>
      </c>
      <c r="J26" s="60"/>
      <c r="K26" s="55">
        <f t="shared" si="1"/>
        <v>10</v>
      </c>
      <c r="L26" s="118">
        <f t="shared" si="3"/>
        <v>36630</v>
      </c>
      <c r="M26" s="123">
        <v>6</v>
      </c>
      <c r="N26" s="18">
        <f t="shared" si="3"/>
        <v>21978</v>
      </c>
      <c r="O26" s="167">
        <v>1</v>
      </c>
      <c r="P26" s="167"/>
      <c r="Q26" t="s">
        <v>202</v>
      </c>
    </row>
    <row r="27" spans="2:17" x14ac:dyDescent="0.2">
      <c r="B27" s="4" t="s">
        <v>4</v>
      </c>
      <c r="C27" s="4">
        <v>1</v>
      </c>
      <c r="D27" s="4" t="s">
        <v>129</v>
      </c>
      <c r="E27" s="4" t="s">
        <v>24</v>
      </c>
      <c r="F27" s="8">
        <v>96800.000000000015</v>
      </c>
      <c r="G27" s="11" t="s">
        <v>141</v>
      </c>
      <c r="H27" s="76" t="s">
        <v>127</v>
      </c>
      <c r="I27" s="77">
        <v>15</v>
      </c>
      <c r="J27" s="58" t="s">
        <v>136</v>
      </c>
      <c r="K27" s="53">
        <f t="shared" si="1"/>
        <v>5</v>
      </c>
      <c r="L27" s="115">
        <f t="shared" si="3"/>
        <v>484000.00000000006</v>
      </c>
      <c r="M27" s="121">
        <v>0</v>
      </c>
      <c r="N27" s="8">
        <f t="shared" si="3"/>
        <v>0</v>
      </c>
      <c r="O27" s="45"/>
      <c r="P27" s="45"/>
      <c r="Q27" t="s">
        <v>185</v>
      </c>
    </row>
    <row r="28" spans="2:17" x14ac:dyDescent="0.2">
      <c r="B28" s="4" t="s">
        <v>4</v>
      </c>
      <c r="C28" s="4">
        <v>1</v>
      </c>
      <c r="D28" s="4" t="s">
        <v>132</v>
      </c>
      <c r="E28" s="4" t="s">
        <v>128</v>
      </c>
      <c r="F28" s="8">
        <v>1760.0000000000002</v>
      </c>
      <c r="G28" s="11" t="s">
        <v>134</v>
      </c>
      <c r="H28" s="76" t="s">
        <v>131</v>
      </c>
      <c r="I28" s="77">
        <v>0</v>
      </c>
      <c r="J28" s="58"/>
      <c r="K28" s="53">
        <f t="shared" si="1"/>
        <v>5</v>
      </c>
      <c r="L28" s="115">
        <f t="shared" si="3"/>
        <v>8800.0000000000018</v>
      </c>
      <c r="M28" s="121">
        <v>0</v>
      </c>
      <c r="N28" s="8">
        <f t="shared" si="3"/>
        <v>0</v>
      </c>
      <c r="O28" s="45">
        <v>1</v>
      </c>
      <c r="P28" s="45"/>
      <c r="Q28" t="s">
        <v>185</v>
      </c>
    </row>
    <row r="29" spans="2:17" x14ac:dyDescent="0.2">
      <c r="B29" s="4" t="s">
        <v>4</v>
      </c>
      <c r="C29" s="4">
        <v>1</v>
      </c>
      <c r="D29" s="4" t="s">
        <v>178</v>
      </c>
      <c r="E29" s="4" t="s">
        <v>180</v>
      </c>
      <c r="F29" s="8">
        <v>24800</v>
      </c>
      <c r="G29" s="4" t="s">
        <v>293</v>
      </c>
      <c r="H29" s="76" t="s">
        <v>295</v>
      </c>
      <c r="I29" s="64">
        <v>0</v>
      </c>
      <c r="J29" s="58"/>
      <c r="K29" s="53">
        <f t="shared" si="1"/>
        <v>5</v>
      </c>
      <c r="L29" s="115">
        <f t="shared" si="3"/>
        <v>124000</v>
      </c>
      <c r="M29" s="121">
        <v>0</v>
      </c>
      <c r="N29" s="8">
        <f t="shared" si="3"/>
        <v>0</v>
      </c>
      <c r="O29" s="45">
        <v>1</v>
      </c>
      <c r="P29" s="45"/>
      <c r="Q29" t="s">
        <v>185</v>
      </c>
    </row>
    <row r="30" spans="2:17" x14ac:dyDescent="0.2">
      <c r="B30" s="13" t="s">
        <v>6</v>
      </c>
      <c r="C30" s="13">
        <v>1</v>
      </c>
      <c r="D30" s="13" t="s">
        <v>130</v>
      </c>
      <c r="E30" s="13" t="s">
        <v>24</v>
      </c>
      <c r="F30" s="14">
        <v>96800.000000000015</v>
      </c>
      <c r="G30" s="13" t="s">
        <v>142</v>
      </c>
      <c r="H30" s="15" t="s">
        <v>127</v>
      </c>
      <c r="I30" s="66">
        <v>15</v>
      </c>
      <c r="J30" s="59" t="s">
        <v>136</v>
      </c>
      <c r="K30" s="54">
        <f t="shared" si="1"/>
        <v>3</v>
      </c>
      <c r="L30" s="116">
        <f t="shared" si="3"/>
        <v>290400.00000000006</v>
      </c>
      <c r="M30" s="122">
        <v>0</v>
      </c>
      <c r="N30" s="14">
        <f t="shared" si="3"/>
        <v>0</v>
      </c>
      <c r="O30" s="165"/>
      <c r="P30" s="165"/>
      <c r="Q30" t="s">
        <v>187</v>
      </c>
    </row>
    <row r="31" spans="2:17" x14ac:dyDescent="0.2">
      <c r="B31" s="13" t="s">
        <v>6</v>
      </c>
      <c r="C31" s="13">
        <v>1</v>
      </c>
      <c r="D31" s="13" t="s">
        <v>133</v>
      </c>
      <c r="E31" s="13" t="s">
        <v>128</v>
      </c>
      <c r="F31" s="14">
        <v>1760.0000000000002</v>
      </c>
      <c r="G31" s="13" t="s">
        <v>134</v>
      </c>
      <c r="H31" s="15" t="s">
        <v>131</v>
      </c>
      <c r="I31" s="66">
        <v>0</v>
      </c>
      <c r="J31" s="59"/>
      <c r="K31" s="54">
        <f t="shared" si="1"/>
        <v>3</v>
      </c>
      <c r="L31" s="116">
        <f t="shared" si="3"/>
        <v>5280.0000000000009</v>
      </c>
      <c r="M31" s="122">
        <v>0</v>
      </c>
      <c r="N31" s="14">
        <f t="shared" si="3"/>
        <v>0</v>
      </c>
      <c r="O31" s="165">
        <v>1</v>
      </c>
      <c r="P31" s="165"/>
      <c r="Q31" t="s">
        <v>187</v>
      </c>
    </row>
    <row r="32" spans="2:17" x14ac:dyDescent="0.2">
      <c r="B32" s="13" t="s">
        <v>6</v>
      </c>
      <c r="C32" s="13">
        <v>1</v>
      </c>
      <c r="D32" s="13" t="s">
        <v>178</v>
      </c>
      <c r="E32" s="13" t="s">
        <v>180</v>
      </c>
      <c r="F32" s="14">
        <v>24800</v>
      </c>
      <c r="G32" s="13" t="s">
        <v>293</v>
      </c>
      <c r="H32" s="15" t="s">
        <v>295</v>
      </c>
      <c r="I32" s="65">
        <v>0</v>
      </c>
      <c r="J32" s="59"/>
      <c r="K32" s="54">
        <f t="shared" si="1"/>
        <v>3</v>
      </c>
      <c r="L32" s="116">
        <f t="shared" si="3"/>
        <v>74400</v>
      </c>
      <c r="M32" s="122">
        <v>0</v>
      </c>
      <c r="N32" s="14">
        <f t="shared" si="3"/>
        <v>0</v>
      </c>
      <c r="O32" s="165">
        <v>1</v>
      </c>
      <c r="P32" s="165"/>
      <c r="Q32" t="s">
        <v>187</v>
      </c>
    </row>
    <row r="33" spans="2:18" x14ac:dyDescent="0.2">
      <c r="B33" s="36" t="s">
        <v>6</v>
      </c>
      <c r="C33" s="37">
        <v>1</v>
      </c>
      <c r="D33" s="37" t="s">
        <v>29</v>
      </c>
      <c r="E33" s="37" t="s">
        <v>30</v>
      </c>
      <c r="F33" s="38">
        <v>9207</v>
      </c>
      <c r="G33" s="37" t="s">
        <v>31</v>
      </c>
      <c r="H33" s="39" t="s">
        <v>44</v>
      </c>
      <c r="I33" s="65">
        <v>1</v>
      </c>
      <c r="J33" s="61"/>
      <c r="K33" s="56">
        <f t="shared" si="1"/>
        <v>3</v>
      </c>
      <c r="L33" s="119">
        <f t="shared" si="3"/>
        <v>27621</v>
      </c>
      <c r="M33" s="124">
        <v>0</v>
      </c>
      <c r="N33" s="38">
        <f t="shared" si="3"/>
        <v>0</v>
      </c>
      <c r="O33" s="168"/>
      <c r="P33" s="168"/>
      <c r="Q33" t="s">
        <v>187</v>
      </c>
    </row>
    <row r="34" spans="2:18" x14ac:dyDescent="0.2">
      <c r="B34" s="4" t="s">
        <v>9</v>
      </c>
      <c r="C34" s="4">
        <v>1</v>
      </c>
      <c r="D34" s="4" t="s">
        <v>129</v>
      </c>
      <c r="E34" s="4" t="s">
        <v>24</v>
      </c>
      <c r="F34" s="8">
        <v>96800.000000000015</v>
      </c>
      <c r="G34" s="11" t="s">
        <v>141</v>
      </c>
      <c r="H34" s="76" t="s">
        <v>127</v>
      </c>
      <c r="I34" s="77">
        <v>15</v>
      </c>
      <c r="J34" s="58" t="s">
        <v>136</v>
      </c>
      <c r="K34" s="53">
        <f t="shared" si="1"/>
        <v>1</v>
      </c>
      <c r="L34" s="115">
        <f t="shared" si="3"/>
        <v>96800.000000000015</v>
      </c>
      <c r="M34" s="121">
        <f>VLOOKUP($B34,$B$4:$E$10,2,0)*$C34</f>
        <v>1</v>
      </c>
      <c r="N34" s="127">
        <f t="shared" si="3"/>
        <v>96800.000000000015</v>
      </c>
      <c r="O34" s="164"/>
      <c r="P34" s="164"/>
    </row>
    <row r="35" spans="2:18" x14ac:dyDescent="0.2">
      <c r="B35" s="4" t="s">
        <v>9</v>
      </c>
      <c r="C35" s="4">
        <v>1</v>
      </c>
      <c r="D35" s="4" t="s">
        <v>132</v>
      </c>
      <c r="E35" s="4" t="s">
        <v>128</v>
      </c>
      <c r="F35" s="8">
        <v>1760.0000000000002</v>
      </c>
      <c r="G35" s="11" t="s">
        <v>134</v>
      </c>
      <c r="H35" s="76" t="s">
        <v>131</v>
      </c>
      <c r="I35" s="77">
        <v>0</v>
      </c>
      <c r="J35" s="58"/>
      <c r="K35" s="53">
        <f t="shared" si="1"/>
        <v>1</v>
      </c>
      <c r="L35" s="115">
        <f t="shared" si="3"/>
        <v>1760.0000000000002</v>
      </c>
      <c r="M35" s="121">
        <f>VLOOKUP($B35,$B$4:$E$10,2,0)*$C35</f>
        <v>1</v>
      </c>
      <c r="N35" s="8">
        <f t="shared" si="3"/>
        <v>1760.0000000000002</v>
      </c>
      <c r="O35" s="45">
        <v>1</v>
      </c>
      <c r="P35" s="45"/>
    </row>
    <row r="36" spans="2:18" x14ac:dyDescent="0.2">
      <c r="B36" s="4" t="s">
        <v>9</v>
      </c>
      <c r="C36" s="4">
        <v>1</v>
      </c>
      <c r="D36" s="4" t="s">
        <v>179</v>
      </c>
      <c r="E36" s="4" t="s">
        <v>25</v>
      </c>
      <c r="F36" s="8">
        <v>24800</v>
      </c>
      <c r="G36" s="4" t="s">
        <v>293</v>
      </c>
      <c r="H36" s="76" t="s">
        <v>295</v>
      </c>
      <c r="I36" s="64">
        <v>0</v>
      </c>
      <c r="J36" s="58"/>
      <c r="K36" s="53">
        <f t="shared" si="1"/>
        <v>1</v>
      </c>
      <c r="L36" s="115">
        <f t="shared" si="3"/>
        <v>24800</v>
      </c>
      <c r="M36" s="121">
        <f>VLOOKUP($B36,$B$4:$E$10,2,0)*$C36</f>
        <v>1</v>
      </c>
      <c r="N36" s="8">
        <f t="shared" si="3"/>
        <v>24800</v>
      </c>
      <c r="O36" s="45">
        <v>1</v>
      </c>
      <c r="P36" s="45"/>
      <c r="R36" s="111"/>
    </row>
    <row r="37" spans="2:18" x14ac:dyDescent="0.2">
      <c r="F37" s="6"/>
      <c r="H37" s="69" t="s">
        <v>112</v>
      </c>
      <c r="I37" s="67">
        <f>SUMPRODUCT(I15:I36*K15:K36)</f>
        <v>334</v>
      </c>
      <c r="K37" t="s">
        <v>181</v>
      </c>
      <c r="L37" s="12">
        <f>SUM(L15:L36)</f>
        <v>2881971</v>
      </c>
      <c r="M37" t="s">
        <v>181</v>
      </c>
      <c r="N37" s="12">
        <f>SUM(N15:N36)</f>
        <v>1298834</v>
      </c>
      <c r="O37" s="49">
        <f>SUMPRODUCT(($F$15:$F$36)*($M$15:$M$36)*($O$15:$O$36)*1.1)</f>
        <v>458297.4</v>
      </c>
      <c r="P37" s="49"/>
    </row>
    <row r="38" spans="2:18" x14ac:dyDescent="0.2">
      <c r="B38" t="s">
        <v>137</v>
      </c>
      <c r="F38" s="6"/>
      <c r="H38" s="69" t="s">
        <v>113</v>
      </c>
      <c r="I38" s="68">
        <f>I37/1000</f>
        <v>0.33400000000000002</v>
      </c>
      <c r="K38" s="29" t="s">
        <v>105</v>
      </c>
      <c r="L38" s="12">
        <v>1820500</v>
      </c>
      <c r="M38" s="29" t="s">
        <v>105</v>
      </c>
      <c r="N38" s="12">
        <f>開発!I13*1.1</f>
        <v>2686200</v>
      </c>
      <c r="O38" s="49"/>
      <c r="P38" s="49"/>
    </row>
    <row r="39" spans="2:18" x14ac:dyDescent="0.2">
      <c r="B39" s="24" t="s">
        <v>138</v>
      </c>
      <c r="C39" s="25"/>
      <c r="D39" s="25"/>
      <c r="E39" s="25"/>
      <c r="F39" s="43"/>
      <c r="G39" s="26"/>
      <c r="H39" s="69" t="s">
        <v>114</v>
      </c>
      <c r="I39" s="71">
        <v>8</v>
      </c>
      <c r="K39" s="29" t="s">
        <v>182</v>
      </c>
      <c r="L39" s="12">
        <f>L37+L38</f>
        <v>4702471</v>
      </c>
      <c r="M39" s="29" t="s">
        <v>63</v>
      </c>
      <c r="N39" s="12">
        <f>N37+N38</f>
        <v>3985034</v>
      </c>
      <c r="O39" s="49"/>
      <c r="P39" s="49"/>
    </row>
    <row r="40" spans="2:18" x14ac:dyDescent="0.2">
      <c r="B40" s="27" t="s">
        <v>139</v>
      </c>
      <c r="C40" s="28"/>
      <c r="D40" s="28"/>
      <c r="E40" s="28"/>
      <c r="F40" s="45"/>
      <c r="G40" s="29"/>
      <c r="H40" s="70" t="s">
        <v>115</v>
      </c>
      <c r="I40" s="68">
        <f>I38*I39</f>
        <v>2.6720000000000002</v>
      </c>
      <c r="L40" s="49"/>
    </row>
    <row r="41" spans="2:18" x14ac:dyDescent="0.2">
      <c r="B41" s="27" t="s">
        <v>140</v>
      </c>
      <c r="C41" s="28"/>
      <c r="D41" s="28"/>
      <c r="E41" s="28"/>
      <c r="F41" s="45"/>
      <c r="G41" s="29"/>
      <c r="H41" s="70" t="s">
        <v>116</v>
      </c>
      <c r="I41" s="74">
        <v>40</v>
      </c>
      <c r="L41" s="49"/>
    </row>
    <row r="42" spans="2:18" x14ac:dyDescent="0.2">
      <c r="B42" s="30"/>
      <c r="C42" s="31"/>
      <c r="D42" s="31"/>
      <c r="E42" s="31"/>
      <c r="F42" s="47"/>
      <c r="G42" s="32"/>
      <c r="H42" s="70" t="s">
        <v>117</v>
      </c>
      <c r="I42" s="73">
        <f>I41*I40</f>
        <v>106.88000000000001</v>
      </c>
      <c r="L42" s="49"/>
    </row>
    <row r="43" spans="2:18" x14ac:dyDescent="0.2">
      <c r="F43" s="6"/>
      <c r="H43" s="70"/>
      <c r="I43" s="72"/>
      <c r="L43" s="49"/>
      <c r="N43" s="111"/>
      <c r="O43" s="111"/>
      <c r="P43" s="111"/>
    </row>
    <row r="44" spans="2:18" x14ac:dyDescent="0.2">
      <c r="F44" s="6"/>
      <c r="H44" s="70"/>
      <c r="I44" s="72"/>
      <c r="L44" s="49"/>
    </row>
    <row r="45" spans="2:18" x14ac:dyDescent="0.2">
      <c r="B45" s="48" t="s">
        <v>99</v>
      </c>
      <c r="F45" s="6"/>
      <c r="L45" s="49"/>
    </row>
    <row r="46" spans="2:18" x14ac:dyDescent="0.2">
      <c r="B46" s="41" t="s">
        <v>101</v>
      </c>
      <c r="C46" s="42"/>
      <c r="D46" s="42"/>
      <c r="E46" s="25"/>
      <c r="F46" s="43"/>
      <c r="G46" s="25"/>
      <c r="H46" s="26"/>
      <c r="L46" s="49"/>
    </row>
    <row r="47" spans="2:18" x14ac:dyDescent="0.2">
      <c r="B47" s="44"/>
      <c r="C47" s="40" t="s">
        <v>119</v>
      </c>
      <c r="D47" s="40"/>
      <c r="E47" s="28"/>
      <c r="F47" s="45"/>
      <c r="G47" s="28"/>
      <c r="H47" s="29"/>
      <c r="L47" s="49"/>
    </row>
    <row r="48" spans="2:18" x14ac:dyDescent="0.2">
      <c r="B48" s="44"/>
      <c r="C48" s="78" t="s">
        <v>145</v>
      </c>
      <c r="D48" s="40"/>
      <c r="E48" s="28"/>
      <c r="F48" s="45"/>
      <c r="G48" s="28"/>
      <c r="H48" s="29"/>
      <c r="L48" s="49"/>
    </row>
    <row r="49" spans="2:12" x14ac:dyDescent="0.2">
      <c r="B49" s="27"/>
      <c r="C49" s="28"/>
      <c r="D49" s="28"/>
      <c r="E49" s="28"/>
      <c r="F49" s="45"/>
      <c r="G49" s="28"/>
      <c r="H49" s="29"/>
      <c r="L49" s="49"/>
    </row>
    <row r="50" spans="2:12" x14ac:dyDescent="0.2">
      <c r="B50" s="27"/>
      <c r="C50" s="28"/>
      <c r="D50" s="28"/>
      <c r="E50" s="28"/>
      <c r="F50" s="45"/>
      <c r="G50" s="28"/>
      <c r="H50" s="29"/>
    </row>
    <row r="51" spans="2:12" x14ac:dyDescent="0.2">
      <c r="B51" s="30"/>
      <c r="C51" s="31"/>
      <c r="D51" s="31"/>
      <c r="E51" s="31"/>
      <c r="F51" s="47"/>
      <c r="G51" s="31"/>
      <c r="H51" s="32"/>
    </row>
    <row r="52" spans="2:12" x14ac:dyDescent="0.2">
      <c r="B52" s="48" t="s">
        <v>99</v>
      </c>
      <c r="F52" s="6"/>
    </row>
    <row r="53" spans="2:12" x14ac:dyDescent="0.2">
      <c r="B53" s="41" t="s">
        <v>100</v>
      </c>
      <c r="C53" s="42"/>
      <c r="D53" s="42"/>
      <c r="E53" s="25"/>
      <c r="F53" s="43"/>
      <c r="G53" s="25"/>
      <c r="H53" s="26"/>
    </row>
    <row r="54" spans="2:12" x14ac:dyDescent="0.2">
      <c r="B54" s="44"/>
      <c r="C54" s="40" t="s">
        <v>93</v>
      </c>
      <c r="D54" s="40" t="s">
        <v>94</v>
      </c>
      <c r="E54" s="28"/>
      <c r="F54" s="45"/>
      <c r="G54" s="28"/>
      <c r="H54" s="29"/>
    </row>
    <row r="55" spans="2:12" x14ac:dyDescent="0.2">
      <c r="B55" s="44"/>
      <c r="C55" s="46">
        <v>937387</v>
      </c>
      <c r="D55" s="40" t="s">
        <v>95</v>
      </c>
      <c r="E55" s="28"/>
      <c r="F55" s="45"/>
      <c r="G55" s="28"/>
      <c r="H55" s="29"/>
    </row>
    <row r="56" spans="2:12" x14ac:dyDescent="0.2">
      <c r="B56" s="27"/>
      <c r="C56" s="28"/>
      <c r="D56" s="28"/>
      <c r="E56" s="28"/>
      <c r="F56" s="45"/>
      <c r="G56" s="28"/>
      <c r="H56" s="29"/>
    </row>
    <row r="57" spans="2:12" x14ac:dyDescent="0.2">
      <c r="B57" s="27"/>
      <c r="C57" s="28"/>
      <c r="D57" s="28"/>
      <c r="E57" s="28"/>
      <c r="F57" s="45"/>
      <c r="G57" s="28"/>
      <c r="H57" s="29"/>
    </row>
    <row r="58" spans="2:12" x14ac:dyDescent="0.2">
      <c r="B58" s="30"/>
      <c r="C58" s="31"/>
      <c r="D58" s="31"/>
      <c r="E58" s="31"/>
      <c r="F58" s="47"/>
      <c r="G58" s="31"/>
      <c r="H58" s="32"/>
    </row>
    <row r="59" spans="2:12" x14ac:dyDescent="0.2">
      <c r="B59" s="28"/>
      <c r="C59" s="28"/>
      <c r="D59" s="28"/>
      <c r="E59" s="28"/>
      <c r="F59" s="45"/>
      <c r="G59" s="28"/>
      <c r="H59" s="28"/>
    </row>
    <row r="60" spans="2:12" x14ac:dyDescent="0.2">
      <c r="B60" t="s">
        <v>12</v>
      </c>
      <c r="F60" s="6"/>
    </row>
    <row r="61" spans="2:12" x14ac:dyDescent="0.2">
      <c r="B61" t="s">
        <v>108</v>
      </c>
      <c r="F61" s="6"/>
    </row>
    <row r="62" spans="2:12" x14ac:dyDescent="0.2">
      <c r="B62" t="s">
        <v>109</v>
      </c>
      <c r="F62" s="6"/>
    </row>
    <row r="63" spans="2:12" x14ac:dyDescent="0.2">
      <c r="F63" s="6"/>
    </row>
    <row r="64" spans="2:12" x14ac:dyDescent="0.2">
      <c r="F64" s="6"/>
    </row>
    <row r="65" spans="6:6" x14ac:dyDescent="0.2">
      <c r="F65" s="6"/>
    </row>
    <row r="66" spans="6:6" x14ac:dyDescent="0.2">
      <c r="F66" s="6"/>
    </row>
    <row r="67" spans="6:6" x14ac:dyDescent="0.2">
      <c r="F67" s="6"/>
    </row>
    <row r="68" spans="6:6" x14ac:dyDescent="0.2">
      <c r="F68" s="6"/>
    </row>
    <row r="69" spans="6:6" x14ac:dyDescent="0.2">
      <c r="F69" s="6"/>
    </row>
    <row r="70" spans="6:6" x14ac:dyDescent="0.2">
      <c r="F70" s="6"/>
    </row>
    <row r="71" spans="6:6" x14ac:dyDescent="0.2">
      <c r="F71" s="6"/>
    </row>
  </sheetData>
  <mergeCells count="1">
    <mergeCell ref="M13:N13"/>
  </mergeCells>
  <phoneticPr fontId="1"/>
  <hyperlinks>
    <hyperlink ref="H15" r:id="rId1"/>
    <hyperlink ref="H18" r:id="rId2"/>
    <hyperlink ref="H17" r:id="rId3"/>
    <hyperlink ref="H33" r:id="rId4"/>
    <hyperlink ref="H19" r:id="rId5"/>
    <hyperlink ref="H20" r:id="rId6"/>
    <hyperlink ref="H21" r:id="rId7"/>
    <hyperlink ref="H22" r:id="rId8"/>
    <hyperlink ref="H27" r:id="rId9"/>
    <hyperlink ref="H28" r:id="rId10"/>
    <hyperlink ref="H30" r:id="rId11"/>
    <hyperlink ref="H31" r:id="rId12"/>
    <hyperlink ref="H34" r:id="rId13"/>
    <hyperlink ref="H35" r:id="rId14"/>
    <hyperlink ref="C48" r:id="rId15"/>
    <hyperlink ref="H36" r:id="rId16" display="https://x.gd/yYt7X"/>
    <hyperlink ref="H32" r:id="rId17" display="https://x.gd/yYt7X"/>
    <hyperlink ref="H23" r:id="rId18"/>
    <hyperlink ref="H29" r:id="rId19" display="https://x.gd/yYt7X"/>
  </hyperlinks>
  <pageMargins left="0.25" right="0.25" top="0.75" bottom="0.75" header="0.3" footer="0.3"/>
  <pageSetup paperSize="9" scale="88" orientation="landscape" r:id="rId20"/>
  <rowBreaks count="1" manualBreakCount="1">
    <brk id="43" max="16383" man="1"/>
  </rowBreaks>
  <drawing r:id="rId2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71"/>
  <sheetViews>
    <sheetView showGridLines="0" tabSelected="1" view="pageBreakPreview" zoomScale="115" zoomScaleNormal="145" zoomScaleSheetLayoutView="115" workbookViewId="0">
      <selection activeCell="H6" sqref="H6"/>
    </sheetView>
  </sheetViews>
  <sheetFormatPr defaultRowHeight="13" x14ac:dyDescent="0.2"/>
  <cols>
    <col min="1" max="1" width="1.36328125" customWidth="1"/>
    <col min="2" max="2" width="12.6328125" bestFit="1" customWidth="1"/>
    <col min="4" max="4" width="9.81640625" bestFit="1" customWidth="1"/>
    <col min="5" max="5" width="18.6328125" customWidth="1"/>
    <col min="6" max="6" width="10.6328125" bestFit="1" customWidth="1"/>
    <col min="7" max="7" width="19.7265625" bestFit="1" customWidth="1"/>
    <col min="8" max="8" width="19.36328125" bestFit="1" customWidth="1"/>
    <col min="9" max="9" width="11.08984375" bestFit="1" customWidth="1"/>
    <col min="10" max="10" width="14.81640625" customWidth="1"/>
    <col min="11" max="11" width="0" hidden="1" customWidth="1"/>
    <col min="12" max="12" width="10.36328125" hidden="1" customWidth="1"/>
    <col min="13" max="13" width="8.81640625" customWidth="1"/>
    <col min="14" max="14" width="9.81640625" bestFit="1" customWidth="1"/>
    <col min="15" max="15" width="9.81640625" customWidth="1"/>
    <col min="16" max="16" width="2.6328125" customWidth="1"/>
  </cols>
  <sheetData>
    <row r="1" spans="1:17" x14ac:dyDescent="0.2">
      <c r="A1" t="s">
        <v>73</v>
      </c>
    </row>
    <row r="2" spans="1:17" x14ac:dyDescent="0.2">
      <c r="L2" s="69"/>
    </row>
    <row r="3" spans="1:17" x14ac:dyDescent="0.2">
      <c r="B3" s="10" t="s">
        <v>17</v>
      </c>
      <c r="C3" s="10" t="s">
        <v>194</v>
      </c>
      <c r="D3" s="10" t="s">
        <v>193</v>
      </c>
      <c r="E3" s="10" t="s">
        <v>396</v>
      </c>
      <c r="F3" s="10" t="s">
        <v>32</v>
      </c>
      <c r="O3" s="111"/>
      <c r="P3" s="111"/>
      <c r="Q3" s="111"/>
    </row>
    <row r="4" spans="1:17" x14ac:dyDescent="0.2">
      <c r="B4" s="4" t="s">
        <v>28</v>
      </c>
      <c r="C4" s="4">
        <v>1</v>
      </c>
      <c r="D4" s="4">
        <v>1</v>
      </c>
      <c r="E4" s="8">
        <f>SUMPRODUCT(($B$15:$B$36=B4)*$C$15:$C$36*$F$15:$F$36*1)</f>
        <v>204600.00000000003</v>
      </c>
      <c r="F4" s="8">
        <f>SUMPRODUCT(($B$15:$B$36=B4)*$C$15:$C$36*$F$15:$F$36*D4)</f>
        <v>204600.00000000003</v>
      </c>
    </row>
    <row r="5" spans="1:17" x14ac:dyDescent="0.2">
      <c r="B5" s="13" t="s">
        <v>35</v>
      </c>
      <c r="C5" s="13">
        <v>1</v>
      </c>
      <c r="D5" s="13">
        <v>0</v>
      </c>
      <c r="E5" s="14">
        <f t="shared" ref="E5:E10" si="0">SUMPRODUCT(($B$15:$B$36=B5)*$C$15:$C$36*$F$15:$F$36*1)</f>
        <v>74140</v>
      </c>
      <c r="F5" s="14">
        <f>SUMPRODUCT(($B$15:$B$36=B5)*$C$15:$C$36*$F$15:$F$36*D5)</f>
        <v>0</v>
      </c>
    </row>
    <row r="6" spans="1:17" x14ac:dyDescent="0.2">
      <c r="B6" s="4" t="s">
        <v>58</v>
      </c>
      <c r="C6" s="4">
        <v>1</v>
      </c>
      <c r="D6" s="4">
        <v>1</v>
      </c>
      <c r="E6" s="8">
        <f t="shared" si="0"/>
        <v>43780</v>
      </c>
      <c r="F6" s="8">
        <f>SUMPRODUCT(($B$15:$B$36=B6)*$C$15:$C$36*$F$15:$F$36*D6)</f>
        <v>43780</v>
      </c>
    </row>
    <row r="7" spans="1:17" x14ac:dyDescent="0.2">
      <c r="B7" s="13" t="s">
        <v>16</v>
      </c>
      <c r="C7" s="13">
        <v>10</v>
      </c>
      <c r="D7" s="13">
        <v>6</v>
      </c>
      <c r="E7" s="14">
        <f>SUMPRODUCT(($B$15:$B$36=B7)*$C$15:$C$36*$F$15:$F$36*1)</f>
        <v>63228</v>
      </c>
      <c r="F7" s="14">
        <f>SUMPRODUCT(($B$15:$B$36=B7)*$C$15:$C$36*$F$15:$F$36*D7)</f>
        <v>379368</v>
      </c>
      <c r="G7" t="s">
        <v>397</v>
      </c>
    </row>
    <row r="8" spans="1:17" x14ac:dyDescent="0.2">
      <c r="B8" s="4" t="s">
        <v>4</v>
      </c>
      <c r="C8" s="4">
        <v>5</v>
      </c>
      <c r="D8" s="4">
        <v>0</v>
      </c>
      <c r="E8" s="8">
        <f t="shared" si="0"/>
        <v>58400</v>
      </c>
      <c r="F8" s="8">
        <f>SUMPRODUCT(($B$15:$B$36=B8)*$C$15:$C$36*$F$15:$F$36*D8)</f>
        <v>0</v>
      </c>
    </row>
    <row r="9" spans="1:17" x14ac:dyDescent="0.2">
      <c r="B9" s="13" t="s">
        <v>6</v>
      </c>
      <c r="C9" s="13">
        <v>3</v>
      </c>
      <c r="D9" s="13">
        <v>0</v>
      </c>
      <c r="E9" s="14">
        <f t="shared" si="0"/>
        <v>67607</v>
      </c>
      <c r="F9" s="14">
        <f>SUMPRODUCT(($B$15:$B$36=B9)*$C$15:$C$36*$F$15:$F$36*D9)</f>
        <v>0</v>
      </c>
    </row>
    <row r="10" spans="1:17" x14ac:dyDescent="0.2">
      <c r="B10" s="4" t="s">
        <v>9</v>
      </c>
      <c r="C10" s="4">
        <v>1</v>
      </c>
      <c r="D10" s="4">
        <v>0</v>
      </c>
      <c r="E10" s="8">
        <f t="shared" si="0"/>
        <v>58400</v>
      </c>
      <c r="F10" s="8">
        <f>SUMPRODUCT(($B$15:$B$36=B10)*$C$15:$C$36*$F$15:$F$36*D10)</f>
        <v>0</v>
      </c>
    </row>
    <row r="11" spans="1:17" x14ac:dyDescent="0.2">
      <c r="F11" s="12">
        <f>SUM(F4:F10)</f>
        <v>627748</v>
      </c>
    </row>
    <row r="13" spans="1:17" x14ac:dyDescent="0.2">
      <c r="B13" t="s">
        <v>45</v>
      </c>
      <c r="I13" t="s">
        <v>111</v>
      </c>
      <c r="K13" s="110" t="s">
        <v>169</v>
      </c>
      <c r="L13" s="69"/>
      <c r="M13" s="200" t="s">
        <v>206</v>
      </c>
      <c r="N13" s="200"/>
      <c r="O13" s="162"/>
      <c r="P13" s="162"/>
    </row>
    <row r="14" spans="1:17" x14ac:dyDescent="0.2">
      <c r="B14" s="10" t="s">
        <v>17</v>
      </c>
      <c r="C14" s="10" t="s">
        <v>19</v>
      </c>
      <c r="D14" s="10" t="s">
        <v>22</v>
      </c>
      <c r="E14" s="10" t="s">
        <v>21</v>
      </c>
      <c r="F14" s="10" t="s">
        <v>379</v>
      </c>
      <c r="G14" s="10" t="s">
        <v>20</v>
      </c>
      <c r="H14" s="10" t="s">
        <v>394</v>
      </c>
      <c r="I14" s="10" t="s">
        <v>56</v>
      </c>
      <c r="J14" s="57" t="s">
        <v>27</v>
      </c>
      <c r="K14" s="52" t="s">
        <v>62</v>
      </c>
      <c r="L14" s="114" t="s">
        <v>32</v>
      </c>
      <c r="M14" s="120" t="s">
        <v>62</v>
      </c>
      <c r="N14" s="10" t="s">
        <v>32</v>
      </c>
      <c r="O14" s="163"/>
      <c r="P14" s="163"/>
    </row>
    <row r="15" spans="1:17" x14ac:dyDescent="0.2">
      <c r="B15" s="4" t="s">
        <v>28</v>
      </c>
      <c r="C15" s="4">
        <v>1</v>
      </c>
      <c r="D15" s="4" t="s">
        <v>33</v>
      </c>
      <c r="E15" s="4" t="s">
        <v>34</v>
      </c>
      <c r="F15" s="8">
        <v>204600.00000000003</v>
      </c>
      <c r="G15" s="4" t="s">
        <v>201</v>
      </c>
      <c r="H15" s="9" t="s">
        <v>43</v>
      </c>
      <c r="I15" s="64">
        <v>20</v>
      </c>
      <c r="J15" s="58"/>
      <c r="K15" s="53">
        <f>VLOOKUP($B15,$B$4:$F$10,2,0)*$C15</f>
        <v>1</v>
      </c>
      <c r="L15" s="115">
        <f>$F15*K15</f>
        <v>204600.00000000003</v>
      </c>
      <c r="M15" s="121">
        <f>VLOOKUP($B15,$B$4:$F$10,2,0)*$C15</f>
        <v>1</v>
      </c>
      <c r="N15" s="127">
        <f>$F15*M15</f>
        <v>204600.00000000003</v>
      </c>
      <c r="O15" s="164"/>
      <c r="P15" s="164"/>
    </row>
    <row r="16" spans="1:17" x14ac:dyDescent="0.2">
      <c r="B16" s="13" t="s">
        <v>35</v>
      </c>
      <c r="C16" s="13">
        <v>1</v>
      </c>
      <c r="D16" s="13" t="s">
        <v>36</v>
      </c>
      <c r="E16" s="13" t="s">
        <v>37</v>
      </c>
      <c r="F16" s="14">
        <v>32780</v>
      </c>
      <c r="G16" s="13" t="s">
        <v>110</v>
      </c>
      <c r="H16" s="15" t="s">
        <v>42</v>
      </c>
      <c r="I16" s="65">
        <v>11</v>
      </c>
      <c r="J16" s="59"/>
      <c r="K16" s="54">
        <f>VLOOKUP($B16,$B$4:$F$10,2,0)*$C16</f>
        <v>1</v>
      </c>
      <c r="L16" s="116">
        <f t="shared" ref="L16:N36" si="1">$F16*K16</f>
        <v>32780</v>
      </c>
      <c r="M16" s="122">
        <f>VLOOKUP($B16,$B$4:$F$10,2,0)*$C16</f>
        <v>1</v>
      </c>
      <c r="N16" s="14">
        <f t="shared" si="1"/>
        <v>32780</v>
      </c>
      <c r="O16" s="165">
        <v>1</v>
      </c>
      <c r="P16" s="165"/>
    </row>
    <row r="17" spans="1:17" x14ac:dyDescent="0.2">
      <c r="B17" s="13" t="s">
        <v>35</v>
      </c>
      <c r="C17" s="13">
        <v>1</v>
      </c>
      <c r="D17" s="13" t="s">
        <v>38</v>
      </c>
      <c r="E17" s="13" t="s">
        <v>39</v>
      </c>
      <c r="F17" s="14">
        <v>14080.000000000002</v>
      </c>
      <c r="G17" s="13" t="s">
        <v>203</v>
      </c>
      <c r="H17" s="15" t="s">
        <v>41</v>
      </c>
      <c r="I17" s="65">
        <v>0</v>
      </c>
      <c r="J17" s="59" t="s">
        <v>52</v>
      </c>
      <c r="K17" s="54">
        <f>VLOOKUP($B17,$B$4:$F$10,2,0)*$C17</f>
        <v>1</v>
      </c>
      <c r="L17" s="116">
        <f t="shared" si="1"/>
        <v>14080.000000000002</v>
      </c>
      <c r="M17" s="122">
        <f>VLOOKUP($B17,$B$4:$F$10,2,0)*$C17</f>
        <v>1</v>
      </c>
      <c r="N17" s="14">
        <f t="shared" si="1"/>
        <v>14080.000000000002</v>
      </c>
      <c r="O17" s="165">
        <v>1</v>
      </c>
      <c r="P17" s="165"/>
    </row>
    <row r="18" spans="1:17" x14ac:dyDescent="0.2">
      <c r="B18" s="13" t="s">
        <v>35</v>
      </c>
      <c r="C18" s="13">
        <v>1</v>
      </c>
      <c r="D18" s="13" t="s">
        <v>46</v>
      </c>
      <c r="E18" s="13" t="s">
        <v>47</v>
      </c>
      <c r="F18" s="14">
        <v>16500</v>
      </c>
      <c r="G18" s="13" t="s">
        <v>204</v>
      </c>
      <c r="H18" s="15" t="s">
        <v>40</v>
      </c>
      <c r="I18" s="65">
        <v>0</v>
      </c>
      <c r="J18" s="59"/>
      <c r="K18" s="54">
        <f>VLOOKUP($B18,$B$4:$F$10,2,0)*$C18</f>
        <v>1</v>
      </c>
      <c r="L18" s="116">
        <f t="shared" si="1"/>
        <v>16500</v>
      </c>
      <c r="M18" s="122">
        <f>VLOOKUP($B18,$B$4:$F$10,2,0)*$C18</f>
        <v>1</v>
      </c>
      <c r="N18" s="14">
        <f t="shared" si="1"/>
        <v>16500</v>
      </c>
      <c r="O18" s="165">
        <v>1</v>
      </c>
      <c r="P18" s="165"/>
    </row>
    <row r="19" spans="1:17" x14ac:dyDescent="0.2">
      <c r="B19" s="13" t="s">
        <v>35</v>
      </c>
      <c r="C19" s="13">
        <v>1</v>
      </c>
      <c r="D19" s="13" t="s">
        <v>55</v>
      </c>
      <c r="E19" s="13" t="s">
        <v>195</v>
      </c>
      <c r="F19" s="14">
        <v>10780</v>
      </c>
      <c r="G19" s="13" t="s">
        <v>205</v>
      </c>
      <c r="H19" s="15" t="s">
        <v>53</v>
      </c>
      <c r="I19" s="65">
        <v>0</v>
      </c>
      <c r="J19" s="59" t="s">
        <v>54</v>
      </c>
      <c r="K19" s="54">
        <f>VLOOKUP($B19,$B$4:$F$10,2,0)*$C19</f>
        <v>1</v>
      </c>
      <c r="L19" s="116">
        <f t="shared" si="1"/>
        <v>10780</v>
      </c>
      <c r="M19" s="122">
        <f>VLOOKUP($B19,$B$4:$F$10,2,0)*$C19</f>
        <v>1</v>
      </c>
      <c r="N19" s="14">
        <f t="shared" si="1"/>
        <v>10780</v>
      </c>
      <c r="O19" s="165">
        <v>1</v>
      </c>
      <c r="P19" s="165"/>
    </row>
    <row r="20" spans="1:17" x14ac:dyDescent="0.2">
      <c r="B20" s="4" t="s">
        <v>58</v>
      </c>
      <c r="C20" s="4">
        <v>1</v>
      </c>
      <c r="D20" s="4" t="s">
        <v>59</v>
      </c>
      <c r="E20" s="4" t="s">
        <v>60</v>
      </c>
      <c r="F20" s="8">
        <v>43780</v>
      </c>
      <c r="G20" s="4" t="s">
        <v>199</v>
      </c>
      <c r="H20" s="9" t="s">
        <v>57</v>
      </c>
      <c r="I20" s="64">
        <v>15</v>
      </c>
      <c r="J20" s="58" t="s">
        <v>61</v>
      </c>
      <c r="K20" s="53">
        <f>VLOOKUP($B20,$B$4:$F$10,2,0)*$C20</f>
        <v>1</v>
      </c>
      <c r="L20" s="115">
        <f t="shared" si="1"/>
        <v>43780</v>
      </c>
      <c r="M20" s="121">
        <f>VLOOKUP($B20,$B$4:$F$10,2,0)*$C20</f>
        <v>1</v>
      </c>
      <c r="N20" s="8">
        <f t="shared" si="1"/>
        <v>43780</v>
      </c>
      <c r="O20" s="45">
        <v>1</v>
      </c>
      <c r="P20" s="45"/>
    </row>
    <row r="21" spans="1:17" x14ac:dyDescent="0.2">
      <c r="A21" s="216"/>
      <c r="B21" s="13" t="s">
        <v>16</v>
      </c>
      <c r="C21" s="13">
        <v>1</v>
      </c>
      <c r="D21" s="13" t="s">
        <v>385</v>
      </c>
      <c r="E21" s="13" t="s">
        <v>387</v>
      </c>
      <c r="F21" s="14">
        <v>31840</v>
      </c>
      <c r="G21" s="13" t="s">
        <v>383</v>
      </c>
      <c r="H21" s="15" t="s">
        <v>378</v>
      </c>
      <c r="I21" s="66"/>
      <c r="J21" s="59" t="s">
        <v>381</v>
      </c>
      <c r="K21" s="54">
        <f>VLOOKUP($B21,$B$4:$F$10,2,0)*$C21</f>
        <v>10</v>
      </c>
      <c r="L21" s="116">
        <f t="shared" si="1"/>
        <v>318400</v>
      </c>
      <c r="M21" s="122">
        <v>6</v>
      </c>
      <c r="N21" s="127">
        <f t="shared" si="1"/>
        <v>191040</v>
      </c>
      <c r="O21" s="164"/>
      <c r="P21" s="164"/>
      <c r="Q21" t="s">
        <v>202</v>
      </c>
    </row>
    <row r="22" spans="1:17" x14ac:dyDescent="0.2">
      <c r="A22" s="216"/>
      <c r="B22" s="13" t="s">
        <v>16</v>
      </c>
      <c r="C22" s="13">
        <v>1</v>
      </c>
      <c r="D22" s="13" t="s">
        <v>391</v>
      </c>
      <c r="E22" s="13" t="s">
        <v>392</v>
      </c>
      <c r="F22" s="14">
        <v>4990</v>
      </c>
      <c r="G22" s="13" t="s">
        <v>393</v>
      </c>
      <c r="H22" s="15" t="s">
        <v>395</v>
      </c>
      <c r="I22" s="66"/>
      <c r="J22" s="59"/>
      <c r="K22" s="54"/>
      <c r="L22" s="116"/>
      <c r="M22" s="122">
        <v>6</v>
      </c>
      <c r="N22" s="127">
        <f t="shared" si="1"/>
        <v>29940</v>
      </c>
      <c r="O22" s="164"/>
      <c r="P22" s="164"/>
    </row>
    <row r="23" spans="1:17" x14ac:dyDescent="0.2">
      <c r="A23" s="216"/>
      <c r="B23" s="13" t="s">
        <v>16</v>
      </c>
      <c r="C23" s="13">
        <v>1</v>
      </c>
      <c r="D23" s="13" t="s">
        <v>389</v>
      </c>
      <c r="E23" s="13" t="s">
        <v>180</v>
      </c>
      <c r="F23" s="14">
        <v>7599</v>
      </c>
      <c r="G23" s="13" t="s">
        <v>390</v>
      </c>
      <c r="H23" s="15" t="s">
        <v>388</v>
      </c>
      <c r="I23" s="65"/>
      <c r="J23" s="59"/>
      <c r="K23" s="54">
        <f>VLOOKUP($B23,$B$4:$F$10,2,0)*$C23</f>
        <v>10</v>
      </c>
      <c r="L23" s="116">
        <f t="shared" si="1"/>
        <v>75990</v>
      </c>
      <c r="M23" s="122">
        <v>6</v>
      </c>
      <c r="N23" s="14">
        <f t="shared" si="1"/>
        <v>45594</v>
      </c>
      <c r="O23" s="165">
        <v>1</v>
      </c>
      <c r="P23" s="165"/>
      <c r="Q23" t="s">
        <v>202</v>
      </c>
    </row>
    <row r="24" spans="1:17" x14ac:dyDescent="0.2">
      <c r="B24" s="16" t="s">
        <v>16</v>
      </c>
      <c r="C24" s="17">
        <v>1</v>
      </c>
      <c r="D24" s="17" t="s">
        <v>98</v>
      </c>
      <c r="E24" s="17" t="s">
        <v>96</v>
      </c>
      <c r="F24" s="18">
        <v>15136.000000000002</v>
      </c>
      <c r="G24" s="17" t="s">
        <v>186</v>
      </c>
      <c r="H24" s="19"/>
      <c r="I24" s="65">
        <v>0</v>
      </c>
      <c r="J24" s="60"/>
      <c r="K24" s="55">
        <f>VLOOKUP($B24,$B$4:$F$10,2,0)*$C24</f>
        <v>10</v>
      </c>
      <c r="L24" s="117">
        <f t="shared" si="1"/>
        <v>151360.00000000003</v>
      </c>
      <c r="M24" s="123">
        <v>6</v>
      </c>
      <c r="N24" s="62">
        <f t="shared" si="1"/>
        <v>90816.000000000015</v>
      </c>
      <c r="O24" s="166">
        <v>1</v>
      </c>
      <c r="P24" s="166"/>
      <c r="Q24" t="s">
        <v>202</v>
      </c>
    </row>
    <row r="25" spans="1:17" x14ac:dyDescent="0.2">
      <c r="B25" s="16" t="s">
        <v>16</v>
      </c>
      <c r="C25" s="17">
        <v>0</v>
      </c>
      <c r="D25" s="17" t="s">
        <v>98</v>
      </c>
      <c r="E25" s="17" t="s">
        <v>97</v>
      </c>
      <c r="F25" s="18">
        <v>3870</v>
      </c>
      <c r="G25" s="17" t="s">
        <v>102</v>
      </c>
      <c r="H25" s="19"/>
      <c r="I25" s="65">
        <v>0</v>
      </c>
      <c r="J25" s="60"/>
      <c r="K25" s="55">
        <f>VLOOKUP($B25,$B$4:$F$10,2,0)*$C25</f>
        <v>0</v>
      </c>
      <c r="L25" s="117">
        <f t="shared" si="1"/>
        <v>0</v>
      </c>
      <c r="M25" s="123">
        <v>0</v>
      </c>
      <c r="N25" s="62">
        <f t="shared" si="1"/>
        <v>0</v>
      </c>
      <c r="O25" s="166">
        <v>1</v>
      </c>
      <c r="P25" s="166"/>
      <c r="Q25" t="s">
        <v>202</v>
      </c>
    </row>
    <row r="26" spans="1:17" x14ac:dyDescent="0.2">
      <c r="B26" s="16" t="s">
        <v>16</v>
      </c>
      <c r="C26" s="17">
        <v>1</v>
      </c>
      <c r="D26" s="17" t="s">
        <v>98</v>
      </c>
      <c r="E26" s="17" t="s">
        <v>97</v>
      </c>
      <c r="F26" s="18">
        <v>3663</v>
      </c>
      <c r="G26" s="169">
        <v>937387</v>
      </c>
      <c r="H26" s="19"/>
      <c r="I26" s="65">
        <v>0</v>
      </c>
      <c r="J26" s="60"/>
      <c r="K26" s="55">
        <f>VLOOKUP($B26,$B$4:$F$10,2,0)*$C26</f>
        <v>10</v>
      </c>
      <c r="L26" s="118">
        <f t="shared" si="1"/>
        <v>36630</v>
      </c>
      <c r="M26" s="123">
        <v>6</v>
      </c>
      <c r="N26" s="18">
        <f t="shared" si="1"/>
        <v>21978</v>
      </c>
      <c r="O26" s="167">
        <v>1</v>
      </c>
      <c r="P26" s="167"/>
      <c r="Q26" t="s">
        <v>202</v>
      </c>
    </row>
    <row r="27" spans="1:17" x14ac:dyDescent="0.2">
      <c r="B27" s="4" t="s">
        <v>4</v>
      </c>
      <c r="C27" s="4">
        <v>1</v>
      </c>
      <c r="D27" s="4" t="s">
        <v>384</v>
      </c>
      <c r="E27" s="4" t="s">
        <v>386</v>
      </c>
      <c r="F27" s="8">
        <v>31840</v>
      </c>
      <c r="G27" s="11" t="s">
        <v>382</v>
      </c>
      <c r="H27" s="76" t="s">
        <v>377</v>
      </c>
      <c r="I27" s="77"/>
      <c r="J27" s="58" t="s">
        <v>380</v>
      </c>
      <c r="K27" s="53">
        <f>VLOOKUP($B27,$B$4:$F$10,2,0)*$C27</f>
        <v>5</v>
      </c>
      <c r="L27" s="115">
        <f t="shared" si="1"/>
        <v>159200</v>
      </c>
      <c r="M27" s="121">
        <v>0</v>
      </c>
      <c r="N27" s="8">
        <f t="shared" si="1"/>
        <v>0</v>
      </c>
      <c r="O27" s="45"/>
      <c r="P27" s="45"/>
      <c r="Q27" t="s">
        <v>185</v>
      </c>
    </row>
    <row r="28" spans="1:17" x14ac:dyDescent="0.2">
      <c r="B28" s="4" t="s">
        <v>4</v>
      </c>
      <c r="C28" s="4">
        <v>1</v>
      </c>
      <c r="D28" s="4" t="s">
        <v>132</v>
      </c>
      <c r="E28" s="4" t="s">
        <v>128</v>
      </c>
      <c r="F28" s="8">
        <v>1760.0000000000002</v>
      </c>
      <c r="G28" s="11" t="s">
        <v>134</v>
      </c>
      <c r="H28" s="76" t="s">
        <v>131</v>
      </c>
      <c r="I28" s="77">
        <v>0</v>
      </c>
      <c r="J28" s="58"/>
      <c r="K28" s="53">
        <f>VLOOKUP($B28,$B$4:$F$10,2,0)*$C28</f>
        <v>5</v>
      </c>
      <c r="L28" s="115">
        <f t="shared" si="1"/>
        <v>8800.0000000000018</v>
      </c>
      <c r="M28" s="121">
        <v>0</v>
      </c>
      <c r="N28" s="8">
        <f t="shared" si="1"/>
        <v>0</v>
      </c>
      <c r="O28" s="45">
        <v>1</v>
      </c>
      <c r="P28" s="45"/>
      <c r="Q28" t="s">
        <v>185</v>
      </c>
    </row>
    <row r="29" spans="1:17" x14ac:dyDescent="0.2">
      <c r="B29" s="4" t="s">
        <v>4</v>
      </c>
      <c r="C29" s="4">
        <v>1</v>
      </c>
      <c r="D29" s="4" t="s">
        <v>178</v>
      </c>
      <c r="E29" s="4" t="s">
        <v>180</v>
      </c>
      <c r="F29" s="8">
        <v>24800</v>
      </c>
      <c r="G29" s="4" t="s">
        <v>293</v>
      </c>
      <c r="H29" s="76" t="s">
        <v>295</v>
      </c>
      <c r="I29" s="64">
        <v>0</v>
      </c>
      <c r="J29" s="58"/>
      <c r="K29" s="53">
        <f>VLOOKUP($B29,$B$4:$F$10,2,0)*$C29</f>
        <v>5</v>
      </c>
      <c r="L29" s="115">
        <f t="shared" si="1"/>
        <v>124000</v>
      </c>
      <c r="M29" s="121">
        <v>0</v>
      </c>
      <c r="N29" s="8">
        <f t="shared" si="1"/>
        <v>0</v>
      </c>
      <c r="O29" s="45">
        <v>1</v>
      </c>
      <c r="P29" s="45"/>
      <c r="Q29" t="s">
        <v>185</v>
      </c>
    </row>
    <row r="30" spans="1:17" x14ac:dyDescent="0.2">
      <c r="B30" s="13" t="s">
        <v>6</v>
      </c>
      <c r="C30" s="13">
        <v>1</v>
      </c>
      <c r="D30" s="13" t="s">
        <v>384</v>
      </c>
      <c r="E30" s="13" t="s">
        <v>386</v>
      </c>
      <c r="F30" s="14">
        <v>31840</v>
      </c>
      <c r="G30" s="13" t="s">
        <v>382</v>
      </c>
      <c r="H30" s="15" t="s">
        <v>377</v>
      </c>
      <c r="I30" s="66"/>
      <c r="J30" s="59" t="s">
        <v>380</v>
      </c>
      <c r="K30" s="54">
        <f>VLOOKUP($B30,$B$4:$F$10,2,0)*$C30</f>
        <v>3</v>
      </c>
      <c r="L30" s="116">
        <f t="shared" si="1"/>
        <v>95520</v>
      </c>
      <c r="M30" s="122">
        <v>0</v>
      </c>
      <c r="N30" s="14">
        <f t="shared" si="1"/>
        <v>0</v>
      </c>
      <c r="O30" s="165"/>
      <c r="P30" s="165"/>
      <c r="Q30" t="s">
        <v>187</v>
      </c>
    </row>
    <row r="31" spans="1:17" x14ac:dyDescent="0.2">
      <c r="B31" s="13" t="s">
        <v>6</v>
      </c>
      <c r="C31" s="13">
        <v>1</v>
      </c>
      <c r="D31" s="13" t="s">
        <v>133</v>
      </c>
      <c r="E31" s="13" t="s">
        <v>128</v>
      </c>
      <c r="F31" s="14">
        <v>1760.0000000000002</v>
      </c>
      <c r="G31" s="13" t="s">
        <v>134</v>
      </c>
      <c r="H31" s="15" t="s">
        <v>131</v>
      </c>
      <c r="I31" s="66">
        <v>0</v>
      </c>
      <c r="J31" s="59"/>
      <c r="K31" s="54">
        <f>VLOOKUP($B31,$B$4:$F$10,2,0)*$C31</f>
        <v>3</v>
      </c>
      <c r="L31" s="116">
        <f t="shared" si="1"/>
        <v>5280.0000000000009</v>
      </c>
      <c r="M31" s="122">
        <v>0</v>
      </c>
      <c r="N31" s="14">
        <f t="shared" si="1"/>
        <v>0</v>
      </c>
      <c r="O31" s="165">
        <v>1</v>
      </c>
      <c r="P31" s="165"/>
      <c r="Q31" t="s">
        <v>187</v>
      </c>
    </row>
    <row r="32" spans="1:17" x14ac:dyDescent="0.2">
      <c r="B32" s="13" t="s">
        <v>6</v>
      </c>
      <c r="C32" s="13">
        <v>1</v>
      </c>
      <c r="D32" s="13" t="s">
        <v>178</v>
      </c>
      <c r="E32" s="13" t="s">
        <v>180</v>
      </c>
      <c r="F32" s="14">
        <v>24800</v>
      </c>
      <c r="G32" s="13" t="s">
        <v>293</v>
      </c>
      <c r="H32" s="15" t="s">
        <v>295</v>
      </c>
      <c r="I32" s="65">
        <v>0</v>
      </c>
      <c r="J32" s="59"/>
      <c r="K32" s="54">
        <f>VLOOKUP($B32,$B$4:$F$10,2,0)*$C32</f>
        <v>3</v>
      </c>
      <c r="L32" s="116">
        <f t="shared" si="1"/>
        <v>74400</v>
      </c>
      <c r="M32" s="122">
        <v>0</v>
      </c>
      <c r="N32" s="14">
        <f t="shared" si="1"/>
        <v>0</v>
      </c>
      <c r="O32" s="165">
        <v>1</v>
      </c>
      <c r="P32" s="165"/>
      <c r="Q32" t="s">
        <v>187</v>
      </c>
    </row>
    <row r="33" spans="2:18" x14ac:dyDescent="0.2">
      <c r="B33" s="36" t="s">
        <v>6</v>
      </c>
      <c r="C33" s="37">
        <v>1</v>
      </c>
      <c r="D33" s="37" t="s">
        <v>29</v>
      </c>
      <c r="E33" s="37" t="s">
        <v>30</v>
      </c>
      <c r="F33" s="38">
        <v>9207</v>
      </c>
      <c r="G33" s="37" t="s">
        <v>31</v>
      </c>
      <c r="H33" s="39" t="s">
        <v>44</v>
      </c>
      <c r="I33" s="65">
        <v>1</v>
      </c>
      <c r="J33" s="61"/>
      <c r="K33" s="56">
        <f>VLOOKUP($B33,$B$4:$F$10,2,0)*$C33</f>
        <v>3</v>
      </c>
      <c r="L33" s="119">
        <f t="shared" si="1"/>
        <v>27621</v>
      </c>
      <c r="M33" s="124">
        <v>0</v>
      </c>
      <c r="N33" s="38">
        <f t="shared" si="1"/>
        <v>0</v>
      </c>
      <c r="O33" s="168"/>
      <c r="P33" s="168"/>
      <c r="Q33" t="s">
        <v>187</v>
      </c>
    </row>
    <row r="34" spans="2:18" x14ac:dyDescent="0.2">
      <c r="B34" s="4" t="s">
        <v>9</v>
      </c>
      <c r="C34" s="4">
        <v>1</v>
      </c>
      <c r="D34" s="4" t="s">
        <v>384</v>
      </c>
      <c r="E34" s="4" t="s">
        <v>386</v>
      </c>
      <c r="F34" s="8">
        <v>31840</v>
      </c>
      <c r="G34" s="11" t="s">
        <v>382</v>
      </c>
      <c r="H34" s="76" t="s">
        <v>377</v>
      </c>
      <c r="I34" s="77"/>
      <c r="J34" s="58" t="s">
        <v>380</v>
      </c>
      <c r="K34" s="53">
        <f>VLOOKUP($B34,$B$4:$F$10,2,0)*$C34</f>
        <v>1</v>
      </c>
      <c r="L34" s="115">
        <f t="shared" si="1"/>
        <v>31840</v>
      </c>
      <c r="M34" s="121">
        <f>VLOOKUP($B34,$B$4:$F$10,2,0)*$C34</f>
        <v>1</v>
      </c>
      <c r="N34" s="127">
        <f t="shared" si="1"/>
        <v>31840</v>
      </c>
      <c r="O34" s="164"/>
      <c r="P34" s="164"/>
    </row>
    <row r="35" spans="2:18" x14ac:dyDescent="0.2">
      <c r="B35" s="4" t="s">
        <v>9</v>
      </c>
      <c r="C35" s="4">
        <v>1</v>
      </c>
      <c r="D35" s="4" t="s">
        <v>132</v>
      </c>
      <c r="E35" s="4" t="s">
        <v>128</v>
      </c>
      <c r="F35" s="8">
        <v>1760.0000000000002</v>
      </c>
      <c r="G35" s="11" t="s">
        <v>134</v>
      </c>
      <c r="H35" s="76" t="s">
        <v>131</v>
      </c>
      <c r="I35" s="77">
        <v>0</v>
      </c>
      <c r="J35" s="58"/>
      <c r="K35" s="53">
        <f>VLOOKUP($B35,$B$4:$F$10,2,0)*$C35</f>
        <v>1</v>
      </c>
      <c r="L35" s="115">
        <f t="shared" si="1"/>
        <v>1760.0000000000002</v>
      </c>
      <c r="M35" s="121">
        <f>VLOOKUP($B35,$B$4:$F$10,2,0)*$C35</f>
        <v>1</v>
      </c>
      <c r="N35" s="8">
        <f t="shared" si="1"/>
        <v>1760.0000000000002</v>
      </c>
      <c r="O35" s="45">
        <v>1</v>
      </c>
      <c r="P35" s="45"/>
    </row>
    <row r="36" spans="2:18" x14ac:dyDescent="0.2">
      <c r="B36" s="4" t="s">
        <v>9</v>
      </c>
      <c r="C36" s="4">
        <v>1</v>
      </c>
      <c r="D36" s="4" t="s">
        <v>179</v>
      </c>
      <c r="E36" s="4" t="s">
        <v>25</v>
      </c>
      <c r="F36" s="8">
        <v>24800</v>
      </c>
      <c r="G36" s="4" t="s">
        <v>293</v>
      </c>
      <c r="H36" s="76" t="s">
        <v>295</v>
      </c>
      <c r="I36" s="64">
        <v>0</v>
      </c>
      <c r="J36" s="58"/>
      <c r="K36" s="53">
        <f>VLOOKUP($B36,$B$4:$F$10,2,0)*$C36</f>
        <v>1</v>
      </c>
      <c r="L36" s="115">
        <f t="shared" si="1"/>
        <v>24800</v>
      </c>
      <c r="M36" s="121">
        <f>VLOOKUP($B36,$B$4:$F$10,2,0)*$C36</f>
        <v>1</v>
      </c>
      <c r="N36" s="8">
        <f t="shared" si="1"/>
        <v>24800</v>
      </c>
      <c r="O36" s="45">
        <v>1</v>
      </c>
      <c r="P36" s="45"/>
      <c r="R36" s="111"/>
    </row>
    <row r="37" spans="2:18" x14ac:dyDescent="0.2">
      <c r="F37" s="6"/>
      <c r="H37" s="69" t="s">
        <v>112</v>
      </c>
      <c r="I37" s="67">
        <f>SUMPRODUCT(I15:I36*K15:K36)</f>
        <v>49</v>
      </c>
      <c r="K37" t="s">
        <v>181</v>
      </c>
      <c r="L37" s="12">
        <f>SUM(L15:L36)</f>
        <v>1458121</v>
      </c>
      <c r="M37" t="s">
        <v>181</v>
      </c>
      <c r="N37" s="12">
        <f>SUM(N15:N36)</f>
        <v>760288</v>
      </c>
      <c r="O37" s="49">
        <f>SUMPRODUCT(($F$15:$F$36)*($M$15:$M$36)*($O$15:$O$36)*1.1)</f>
        <v>333154.8</v>
      </c>
      <c r="P37" s="49"/>
    </row>
    <row r="38" spans="2:18" x14ac:dyDescent="0.2">
      <c r="B38" t="s">
        <v>137</v>
      </c>
      <c r="F38" s="6"/>
      <c r="H38" s="69" t="s">
        <v>113</v>
      </c>
      <c r="I38" s="68">
        <f>I37/1000</f>
        <v>4.9000000000000002E-2</v>
      </c>
      <c r="K38" s="29" t="s">
        <v>105</v>
      </c>
      <c r="L38" s="12">
        <v>1820500</v>
      </c>
      <c r="M38" s="29" t="s">
        <v>105</v>
      </c>
      <c r="N38" s="12">
        <f>開発!I13*1.1</f>
        <v>2686200</v>
      </c>
      <c r="O38" s="49"/>
      <c r="P38" s="49"/>
    </row>
    <row r="39" spans="2:18" x14ac:dyDescent="0.2">
      <c r="B39" s="24" t="s">
        <v>138</v>
      </c>
      <c r="C39" s="25"/>
      <c r="D39" s="25"/>
      <c r="E39" s="25"/>
      <c r="F39" s="43"/>
      <c r="G39" s="26"/>
      <c r="H39" s="69" t="s">
        <v>114</v>
      </c>
      <c r="I39" s="71">
        <v>8</v>
      </c>
      <c r="K39" s="29" t="s">
        <v>63</v>
      </c>
      <c r="L39" s="12">
        <f>L37+L38</f>
        <v>3278621</v>
      </c>
      <c r="M39" s="29" t="s">
        <v>63</v>
      </c>
      <c r="N39" s="12">
        <f>N37+N38</f>
        <v>3446488</v>
      </c>
      <c r="O39" s="49"/>
      <c r="P39" s="49"/>
    </row>
    <row r="40" spans="2:18" x14ac:dyDescent="0.2">
      <c r="B40" s="27" t="s">
        <v>139</v>
      </c>
      <c r="C40" s="28"/>
      <c r="D40" s="28"/>
      <c r="E40" s="28"/>
      <c r="F40" s="45"/>
      <c r="G40" s="29"/>
      <c r="H40" s="70" t="s">
        <v>115</v>
      </c>
      <c r="I40" s="68">
        <f>I38*I39</f>
        <v>0.39200000000000002</v>
      </c>
      <c r="L40" s="49"/>
    </row>
    <row r="41" spans="2:18" x14ac:dyDescent="0.2">
      <c r="B41" s="27" t="s">
        <v>140</v>
      </c>
      <c r="C41" s="28"/>
      <c r="D41" s="28"/>
      <c r="E41" s="28"/>
      <c r="F41" s="45"/>
      <c r="G41" s="29"/>
      <c r="H41" s="70" t="s">
        <v>116</v>
      </c>
      <c r="I41" s="74">
        <v>40</v>
      </c>
      <c r="L41" s="49"/>
    </row>
    <row r="42" spans="2:18" x14ac:dyDescent="0.2">
      <c r="B42" s="30"/>
      <c r="C42" s="31"/>
      <c r="D42" s="31"/>
      <c r="E42" s="31"/>
      <c r="F42" s="47"/>
      <c r="G42" s="32"/>
      <c r="H42" s="70" t="s">
        <v>117</v>
      </c>
      <c r="I42" s="73">
        <f>I41*I40</f>
        <v>15.68</v>
      </c>
      <c r="L42" s="49"/>
    </row>
    <row r="43" spans="2:18" x14ac:dyDescent="0.2">
      <c r="F43" s="6"/>
      <c r="H43" s="70"/>
      <c r="I43" s="72"/>
      <c r="L43" s="49"/>
      <c r="N43" s="111"/>
      <c r="O43" s="111"/>
      <c r="P43" s="111"/>
    </row>
    <row r="44" spans="2:18" x14ac:dyDescent="0.2">
      <c r="F44" s="6"/>
      <c r="H44" s="70"/>
      <c r="I44" s="72"/>
      <c r="L44" s="49"/>
    </row>
    <row r="45" spans="2:18" x14ac:dyDescent="0.2">
      <c r="B45" s="48" t="s">
        <v>99</v>
      </c>
      <c r="F45" s="6"/>
      <c r="L45" s="49"/>
    </row>
    <row r="46" spans="2:18" x14ac:dyDescent="0.2">
      <c r="B46" s="41" t="s">
        <v>101</v>
      </c>
      <c r="C46" s="42"/>
      <c r="D46" s="42"/>
      <c r="E46" s="25"/>
      <c r="F46" s="43"/>
      <c r="G46" s="25"/>
      <c r="H46" s="26"/>
      <c r="L46" s="49"/>
    </row>
    <row r="47" spans="2:18" x14ac:dyDescent="0.2">
      <c r="B47" s="44"/>
      <c r="C47" s="40" t="s">
        <v>119</v>
      </c>
      <c r="D47" s="40"/>
      <c r="E47" s="28"/>
      <c r="F47" s="45"/>
      <c r="G47" s="28"/>
      <c r="H47" s="29"/>
      <c r="L47" s="49"/>
    </row>
    <row r="48" spans="2:18" x14ac:dyDescent="0.2">
      <c r="B48" s="44"/>
      <c r="C48" s="78" t="s">
        <v>145</v>
      </c>
      <c r="D48" s="40"/>
      <c r="E48" s="28"/>
      <c r="F48" s="45"/>
      <c r="G48" s="28"/>
      <c r="H48" s="29"/>
      <c r="L48" s="49"/>
    </row>
    <row r="49" spans="2:12" x14ac:dyDescent="0.2">
      <c r="B49" s="27"/>
      <c r="C49" s="28"/>
      <c r="D49" s="28"/>
      <c r="E49" s="28"/>
      <c r="F49" s="45"/>
      <c r="G49" s="28"/>
      <c r="H49" s="29"/>
      <c r="L49" s="49"/>
    </row>
    <row r="50" spans="2:12" x14ac:dyDescent="0.2">
      <c r="B50" s="27"/>
      <c r="C50" s="28"/>
      <c r="D50" s="28"/>
      <c r="E50" s="28"/>
      <c r="F50" s="45"/>
      <c r="G50" s="28"/>
      <c r="H50" s="29"/>
    </row>
    <row r="51" spans="2:12" x14ac:dyDescent="0.2">
      <c r="B51" s="30"/>
      <c r="C51" s="31"/>
      <c r="D51" s="31"/>
      <c r="E51" s="31"/>
      <c r="F51" s="47"/>
      <c r="G51" s="31"/>
      <c r="H51" s="32"/>
    </row>
    <row r="52" spans="2:12" x14ac:dyDescent="0.2">
      <c r="B52" s="48" t="s">
        <v>99</v>
      </c>
      <c r="F52" s="6"/>
    </row>
    <row r="53" spans="2:12" x14ac:dyDescent="0.2">
      <c r="B53" s="41" t="s">
        <v>100</v>
      </c>
      <c r="C53" s="42"/>
      <c r="D53" s="42"/>
      <c r="E53" s="25"/>
      <c r="F53" s="43"/>
      <c r="G53" s="25"/>
      <c r="H53" s="26"/>
    </row>
    <row r="54" spans="2:12" x14ac:dyDescent="0.2">
      <c r="B54" s="44"/>
      <c r="C54" s="40" t="s">
        <v>93</v>
      </c>
      <c r="D54" s="40" t="s">
        <v>94</v>
      </c>
      <c r="E54" s="28"/>
      <c r="F54" s="45"/>
      <c r="G54" s="28"/>
      <c r="H54" s="29"/>
    </row>
    <row r="55" spans="2:12" x14ac:dyDescent="0.2">
      <c r="B55" s="44"/>
      <c r="C55" s="46">
        <v>937387</v>
      </c>
      <c r="D55" s="40" t="s">
        <v>95</v>
      </c>
      <c r="E55" s="28"/>
      <c r="F55" s="45"/>
      <c r="G55" s="28"/>
      <c r="H55" s="29"/>
    </row>
    <row r="56" spans="2:12" x14ac:dyDescent="0.2">
      <c r="B56" s="27"/>
      <c r="C56" s="28"/>
      <c r="D56" s="28"/>
      <c r="E56" s="28"/>
      <c r="F56" s="45"/>
      <c r="G56" s="28"/>
      <c r="H56" s="29"/>
    </row>
    <row r="57" spans="2:12" x14ac:dyDescent="0.2">
      <c r="B57" s="27"/>
      <c r="C57" s="28"/>
      <c r="D57" s="28"/>
      <c r="E57" s="28"/>
      <c r="F57" s="45"/>
      <c r="G57" s="28"/>
      <c r="H57" s="29"/>
    </row>
    <row r="58" spans="2:12" x14ac:dyDescent="0.2">
      <c r="B58" s="30"/>
      <c r="C58" s="31"/>
      <c r="D58" s="31"/>
      <c r="E58" s="31"/>
      <c r="F58" s="47"/>
      <c r="G58" s="31"/>
      <c r="H58" s="32"/>
    </row>
    <row r="59" spans="2:12" x14ac:dyDescent="0.2">
      <c r="B59" s="28"/>
      <c r="C59" s="28"/>
      <c r="D59" s="28"/>
      <c r="E59" s="28"/>
      <c r="F59" s="45"/>
      <c r="G59" s="28"/>
      <c r="H59" s="28"/>
    </row>
    <row r="60" spans="2:12" x14ac:dyDescent="0.2">
      <c r="B60" t="s">
        <v>12</v>
      </c>
      <c r="F60" s="6"/>
    </row>
    <row r="61" spans="2:12" x14ac:dyDescent="0.2">
      <c r="B61" t="s">
        <v>108</v>
      </c>
      <c r="F61" s="6"/>
    </row>
    <row r="62" spans="2:12" x14ac:dyDescent="0.2">
      <c r="B62" t="s">
        <v>109</v>
      </c>
      <c r="F62" s="6"/>
    </row>
    <row r="63" spans="2:12" x14ac:dyDescent="0.2">
      <c r="F63" s="6"/>
    </row>
    <row r="64" spans="2:12" x14ac:dyDescent="0.2">
      <c r="F64" s="6"/>
    </row>
    <row r="65" spans="6:6" x14ac:dyDescent="0.2">
      <c r="F65" s="6"/>
    </row>
    <row r="66" spans="6:6" x14ac:dyDescent="0.2">
      <c r="F66" s="6"/>
    </row>
    <row r="67" spans="6:6" x14ac:dyDescent="0.2">
      <c r="F67" s="6"/>
    </row>
    <row r="68" spans="6:6" x14ac:dyDescent="0.2">
      <c r="F68" s="6"/>
    </row>
    <row r="69" spans="6:6" x14ac:dyDescent="0.2">
      <c r="F69" s="6"/>
    </row>
    <row r="70" spans="6:6" x14ac:dyDescent="0.2">
      <c r="F70" s="6"/>
    </row>
    <row r="71" spans="6:6" x14ac:dyDescent="0.2">
      <c r="F71" s="6"/>
    </row>
  </sheetData>
  <mergeCells count="1">
    <mergeCell ref="M13:N13"/>
  </mergeCells>
  <phoneticPr fontId="1"/>
  <hyperlinks>
    <hyperlink ref="H15" r:id="rId1"/>
    <hyperlink ref="H18" r:id="rId2"/>
    <hyperlink ref="H17" r:id="rId3"/>
    <hyperlink ref="H33" r:id="rId4"/>
    <hyperlink ref="H19" r:id="rId5"/>
    <hyperlink ref="H20" r:id="rId6"/>
    <hyperlink ref="H21" r:id="rId7"/>
    <hyperlink ref="H27" r:id="rId8" display="https://x.gd/aYYjg"/>
    <hyperlink ref="H28" r:id="rId9"/>
    <hyperlink ref="H30" r:id="rId10" display="https://x.gd/aYYjg"/>
    <hyperlink ref="H31" r:id="rId11"/>
    <hyperlink ref="H35" r:id="rId12"/>
    <hyperlink ref="C48" r:id="rId13"/>
    <hyperlink ref="H36" r:id="rId14" display="https://x.gd/yYt7X"/>
    <hyperlink ref="H32" r:id="rId15" display="https://x.gd/yYt7X"/>
    <hyperlink ref="H23" r:id="rId16"/>
    <hyperlink ref="H29" r:id="rId17" display="https://x.gd/yYt7X"/>
    <hyperlink ref="H22" r:id="rId18"/>
    <hyperlink ref="H34" r:id="rId19" display="https://x.gd/aYYjg"/>
  </hyperlinks>
  <pageMargins left="0.25" right="0.25" top="0.75" bottom="0.75" header="0.3" footer="0.3"/>
  <pageSetup paperSize="9" scale="88" orientation="landscape" r:id="rId20"/>
  <rowBreaks count="1" manualBreakCount="1">
    <brk id="43" max="16383" man="1"/>
  </rowBreaks>
  <drawing r:id="rId2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D289"/>
  <sheetViews>
    <sheetView showGridLines="0" view="pageBreakPreview" zoomScale="130" zoomScaleNormal="100" zoomScaleSheetLayoutView="130" workbookViewId="0">
      <selection activeCell="E11" sqref="E11"/>
    </sheetView>
  </sheetViews>
  <sheetFormatPr defaultRowHeight="15.5" x14ac:dyDescent="0.2"/>
  <cols>
    <col min="1" max="1" width="1.08984375" style="132" customWidth="1"/>
    <col min="2" max="2" width="44.7265625" style="132" customWidth="1"/>
    <col min="3" max="3" width="62.90625" style="132" customWidth="1"/>
    <col min="4" max="4" width="1.7265625" style="132" customWidth="1"/>
    <col min="5" max="8" width="8.7265625" style="132"/>
    <col min="9" max="9" width="3.453125" style="132" customWidth="1"/>
    <col min="10" max="10" width="3.81640625" style="132" customWidth="1"/>
    <col min="11" max="11" width="2.6328125" style="132" customWidth="1"/>
    <col min="12" max="12" width="1.7265625" style="132" customWidth="1"/>
    <col min="13" max="16384" width="8.7265625" style="132"/>
  </cols>
  <sheetData>
    <row r="1" spans="2:4" s="131" customFormat="1" ht="14" x14ac:dyDescent="0.2"/>
    <row r="2" spans="2:4" ht="26" customHeight="1" x14ac:dyDescent="0.2">
      <c r="B2" s="151" t="s">
        <v>276</v>
      </c>
    </row>
    <row r="3" spans="2:4" ht="14" customHeight="1" x14ac:dyDescent="0.2">
      <c r="B3" s="151"/>
    </row>
    <row r="4" spans="2:4" ht="14" customHeight="1" x14ac:dyDescent="0.2">
      <c r="B4" s="151"/>
    </row>
    <row r="5" spans="2:4" ht="14" customHeight="1" x14ac:dyDescent="0.2">
      <c r="B5" s="151"/>
    </row>
    <row r="6" spans="2:4" s="131" customFormat="1" ht="14" x14ac:dyDescent="0.2">
      <c r="B6" s="152" t="s">
        <v>277</v>
      </c>
      <c r="C6" s="158"/>
      <c r="D6" s="159"/>
    </row>
    <row r="7" spans="2:4" s="131" customFormat="1" ht="18.5" customHeight="1" x14ac:dyDescent="0.2">
      <c r="B7" s="149" t="s">
        <v>278</v>
      </c>
      <c r="C7" s="150" t="s">
        <v>279</v>
      </c>
    </row>
    <row r="8" spans="2:4" s="131" customFormat="1" ht="18.5" customHeight="1" x14ac:dyDescent="0.2">
      <c r="B8" s="153" t="s">
        <v>291</v>
      </c>
      <c r="C8" s="154"/>
    </row>
    <row r="9" spans="2:4" s="131" customFormat="1" ht="18.5" customHeight="1" x14ac:dyDescent="0.2">
      <c r="B9" s="155" t="s">
        <v>280</v>
      </c>
      <c r="C9" s="154"/>
    </row>
    <row r="10" spans="2:4" s="131" customFormat="1" ht="18.5" customHeight="1" x14ac:dyDescent="0.2">
      <c r="B10" s="155" t="s">
        <v>305</v>
      </c>
      <c r="C10" s="154" t="s">
        <v>285</v>
      </c>
    </row>
    <row r="11" spans="2:4" s="131" customFormat="1" ht="18.5" customHeight="1" x14ac:dyDescent="0.2">
      <c r="B11" s="155"/>
      <c r="C11" s="154"/>
    </row>
    <row r="12" spans="2:4" s="131" customFormat="1" ht="18.5" customHeight="1" x14ac:dyDescent="0.2">
      <c r="B12" s="156" t="s">
        <v>306</v>
      </c>
      <c r="C12" s="154" t="s">
        <v>283</v>
      </c>
    </row>
    <row r="13" spans="2:4" s="131" customFormat="1" ht="18.5" customHeight="1" x14ac:dyDescent="0.2">
      <c r="B13" s="155"/>
      <c r="C13" s="154" t="s">
        <v>284</v>
      </c>
    </row>
    <row r="14" spans="2:4" s="131" customFormat="1" ht="18.5" customHeight="1" x14ac:dyDescent="0.2">
      <c r="B14" s="155"/>
      <c r="C14" s="157" t="s">
        <v>286</v>
      </c>
    </row>
    <row r="15" spans="2:4" s="131" customFormat="1" ht="18.5" customHeight="1" x14ac:dyDescent="0.2">
      <c r="B15" s="155"/>
      <c r="C15" s="154"/>
    </row>
    <row r="16" spans="2:4" s="131" customFormat="1" ht="18.5" customHeight="1" x14ac:dyDescent="0.2">
      <c r="B16" s="156" t="s">
        <v>316</v>
      </c>
      <c r="C16" s="154" t="s">
        <v>304</v>
      </c>
    </row>
    <row r="17" spans="2:3" s="131" customFormat="1" ht="18.5" customHeight="1" x14ac:dyDescent="0.2">
      <c r="B17" s="156"/>
      <c r="C17" s="154"/>
    </row>
    <row r="18" spans="2:3" s="131" customFormat="1" ht="18.5" customHeight="1" x14ac:dyDescent="0.2">
      <c r="B18" s="155" t="s">
        <v>287</v>
      </c>
      <c r="C18" s="154"/>
    </row>
    <row r="19" spans="2:3" s="131" customFormat="1" ht="18.5" customHeight="1" x14ac:dyDescent="0.2">
      <c r="B19" s="155" t="s">
        <v>281</v>
      </c>
      <c r="C19" s="154" t="s">
        <v>288</v>
      </c>
    </row>
    <row r="20" spans="2:3" s="131" customFormat="1" ht="18.5" customHeight="1" x14ac:dyDescent="0.2">
      <c r="B20" s="155"/>
      <c r="C20" s="154" t="s">
        <v>290</v>
      </c>
    </row>
    <row r="21" spans="2:3" s="131" customFormat="1" ht="18.5" customHeight="1" x14ac:dyDescent="0.2">
      <c r="B21" s="156" t="s">
        <v>282</v>
      </c>
      <c r="C21" s="154" t="s">
        <v>289</v>
      </c>
    </row>
    <row r="22" spans="2:3" s="131" customFormat="1" ht="14" x14ac:dyDescent="0.2">
      <c r="B22" s="148"/>
      <c r="C22" s="146"/>
    </row>
    <row r="23" spans="2:3" s="131" customFormat="1" ht="14" x14ac:dyDescent="0.2">
      <c r="B23" s="159"/>
      <c r="C23" s="159"/>
    </row>
    <row r="24" spans="2:3" s="131" customFormat="1" ht="14" x14ac:dyDescent="0.2"/>
    <row r="25" spans="2:3" s="131" customFormat="1" ht="14" x14ac:dyDescent="0.2">
      <c r="B25" s="152" t="s">
        <v>297</v>
      </c>
      <c r="C25" s="158"/>
    </row>
    <row r="26" spans="2:3" s="131" customFormat="1" ht="14" x14ac:dyDescent="0.2">
      <c r="B26" s="149" t="s">
        <v>278</v>
      </c>
      <c r="C26" s="150" t="s">
        <v>279</v>
      </c>
    </row>
    <row r="27" spans="2:3" s="131" customFormat="1" ht="14" x14ac:dyDescent="0.2">
      <c r="B27" s="153" t="s">
        <v>298</v>
      </c>
      <c r="C27" s="154"/>
    </row>
    <row r="28" spans="2:3" s="131" customFormat="1" ht="14" x14ac:dyDescent="0.2">
      <c r="B28" s="155" t="s">
        <v>299</v>
      </c>
      <c r="C28" s="154" t="s">
        <v>300</v>
      </c>
    </row>
    <row r="29" spans="2:3" s="131" customFormat="1" ht="14" x14ac:dyDescent="0.2">
      <c r="B29" s="156" t="s">
        <v>301</v>
      </c>
      <c r="C29" s="154" t="s">
        <v>302</v>
      </c>
    </row>
    <row r="30" spans="2:3" s="131" customFormat="1" ht="14" x14ac:dyDescent="0.2">
      <c r="B30" s="160"/>
      <c r="C30" s="161"/>
    </row>
    <row r="31" spans="2:3" s="131" customFormat="1" ht="14" x14ac:dyDescent="0.2">
      <c r="B31" s="142"/>
    </row>
    <row r="32" spans="2:3" s="131" customFormat="1" ht="14" x14ac:dyDescent="0.2">
      <c r="B32" s="138"/>
    </row>
    <row r="33" spans="2:2" x14ac:dyDescent="0.2">
      <c r="B33" s="136" t="s">
        <v>303</v>
      </c>
    </row>
    <row r="34" spans="2:2" s="131" customFormat="1" ht="14" x14ac:dyDescent="0.2">
      <c r="B34" s="138"/>
    </row>
    <row r="35" spans="2:2" s="131" customFormat="1" ht="14" x14ac:dyDescent="0.2">
      <c r="B35" s="135"/>
    </row>
    <row r="36" spans="2:2" s="131" customFormat="1" ht="14" x14ac:dyDescent="0.2">
      <c r="B36" s="139"/>
    </row>
    <row r="37" spans="2:2" s="131" customFormat="1" ht="14" x14ac:dyDescent="0.2">
      <c r="B37" s="138"/>
    </row>
    <row r="38" spans="2:2" s="131" customFormat="1" ht="14" x14ac:dyDescent="0.2">
      <c r="B38" s="138"/>
    </row>
    <row r="39" spans="2:2" s="131" customFormat="1" ht="14" x14ac:dyDescent="0.2">
      <c r="B39" s="138"/>
    </row>
    <row r="40" spans="2:2" s="131" customFormat="1" ht="14" x14ac:dyDescent="0.2">
      <c r="B40" s="138"/>
    </row>
    <row r="41" spans="2:2" s="131" customFormat="1" ht="14" x14ac:dyDescent="0.2">
      <c r="B41" s="135"/>
    </row>
    <row r="42" spans="2:2" s="131" customFormat="1" ht="21" x14ac:dyDescent="0.2">
      <c r="B42" s="143"/>
    </row>
    <row r="43" spans="2:2" s="131" customFormat="1" ht="14" x14ac:dyDescent="0.2">
      <c r="B43" s="139"/>
    </row>
    <row r="44" spans="2:2" s="131" customFormat="1" ht="14" x14ac:dyDescent="0.2">
      <c r="B44" s="138"/>
    </row>
    <row r="45" spans="2:2" s="131" customFormat="1" ht="14" x14ac:dyDescent="0.2">
      <c r="B45" s="138"/>
    </row>
    <row r="46" spans="2:2" s="131" customFormat="1" ht="14" x14ac:dyDescent="0.2">
      <c r="B46" s="139"/>
    </row>
    <row r="47" spans="2:2" s="131" customFormat="1" ht="14" x14ac:dyDescent="0.2">
      <c r="B47" s="138"/>
    </row>
    <row r="48" spans="2:2" s="131" customFormat="1" ht="14" x14ac:dyDescent="0.2">
      <c r="B48" s="138"/>
    </row>
    <row r="49" spans="2:2" s="131" customFormat="1" ht="14" x14ac:dyDescent="0.2">
      <c r="B49" s="138"/>
    </row>
    <row r="50" spans="2:2" s="131" customFormat="1" ht="14" x14ac:dyDescent="0.2">
      <c r="B50" s="139"/>
    </row>
    <row r="51" spans="2:2" s="131" customFormat="1" ht="14" x14ac:dyDescent="0.2">
      <c r="B51" s="138"/>
    </row>
    <row r="52" spans="2:2" s="131" customFormat="1" ht="14" x14ac:dyDescent="0.2">
      <c r="B52" s="138"/>
    </row>
    <row r="53" spans="2:2" s="131" customFormat="1" ht="14" x14ac:dyDescent="0.2">
      <c r="B53" s="138"/>
    </row>
    <row r="54" spans="2:2" s="131" customFormat="1" ht="14" x14ac:dyDescent="0.2">
      <c r="B54" s="144"/>
    </row>
    <row r="55" spans="2:2" s="131" customFormat="1" ht="14" x14ac:dyDescent="0.2">
      <c r="B55" s="138"/>
    </row>
    <row r="56" spans="2:2" s="131" customFormat="1" ht="14" x14ac:dyDescent="0.2">
      <c r="B56" s="138"/>
    </row>
    <row r="57" spans="2:2" s="131" customFormat="1" ht="14" x14ac:dyDescent="0.2">
      <c r="B57" s="135"/>
    </row>
    <row r="58" spans="2:2" s="131" customFormat="1" ht="14" x14ac:dyDescent="0.2">
      <c r="B58" s="139"/>
    </row>
    <row r="59" spans="2:2" s="131" customFormat="1" ht="14" x14ac:dyDescent="0.2">
      <c r="B59" s="138"/>
    </row>
    <row r="60" spans="2:2" s="131" customFormat="1" ht="14" x14ac:dyDescent="0.2">
      <c r="B60" s="139"/>
    </row>
    <row r="61" spans="2:2" s="131" customFormat="1" ht="14" x14ac:dyDescent="0.2">
      <c r="B61" s="138"/>
    </row>
    <row r="62" spans="2:2" s="131" customFormat="1" ht="14" x14ac:dyDescent="0.2">
      <c r="B62" s="139"/>
    </row>
    <row r="63" spans="2:2" s="131" customFormat="1" ht="14" x14ac:dyDescent="0.2">
      <c r="B63" s="138"/>
    </row>
    <row r="64" spans="2:2" s="131" customFormat="1" ht="14" x14ac:dyDescent="0.2">
      <c r="B64" s="138"/>
    </row>
    <row r="65" spans="2:2" s="131" customFormat="1" ht="14" x14ac:dyDescent="0.2">
      <c r="B65" s="138"/>
    </row>
    <row r="66" spans="2:2" s="131" customFormat="1" ht="14" x14ac:dyDescent="0.2"/>
    <row r="67" spans="2:2" s="131" customFormat="1" ht="14" x14ac:dyDescent="0.2"/>
    <row r="68" spans="2:2" s="131" customFormat="1" ht="14" x14ac:dyDescent="0.2"/>
    <row r="69" spans="2:2" s="131" customFormat="1" ht="14" x14ac:dyDescent="0.2"/>
    <row r="70" spans="2:2" s="131" customFormat="1" ht="14" x14ac:dyDescent="0.2"/>
    <row r="71" spans="2:2" s="131" customFormat="1" ht="14" x14ac:dyDescent="0.2"/>
    <row r="72" spans="2:2" s="131" customFormat="1" ht="14" x14ac:dyDescent="0.2"/>
    <row r="73" spans="2:2" s="131" customFormat="1" ht="14" x14ac:dyDescent="0.2"/>
    <row r="74" spans="2:2" s="131" customFormat="1" ht="14" x14ac:dyDescent="0.2"/>
    <row r="75" spans="2:2" s="131" customFormat="1" ht="14" x14ac:dyDescent="0.2"/>
    <row r="76" spans="2:2" s="131" customFormat="1" ht="14" x14ac:dyDescent="0.2"/>
    <row r="77" spans="2:2" s="131" customFormat="1" ht="14" x14ac:dyDescent="0.2"/>
    <row r="78" spans="2:2" s="131" customFormat="1" ht="14" x14ac:dyDescent="0.2"/>
    <row r="79" spans="2:2" s="131" customFormat="1" ht="14" x14ac:dyDescent="0.2"/>
    <row r="80" spans="2:2" s="131" customFormat="1" ht="14" x14ac:dyDescent="0.2"/>
    <row r="81" s="131" customFormat="1" ht="14" x14ac:dyDescent="0.2"/>
    <row r="82" s="131" customFormat="1" ht="14" x14ac:dyDescent="0.2"/>
    <row r="83" s="131" customFormat="1" ht="14" x14ac:dyDescent="0.2"/>
    <row r="84" s="131" customFormat="1" ht="14" x14ac:dyDescent="0.2"/>
    <row r="85" s="131" customFormat="1" ht="14" x14ac:dyDescent="0.2"/>
    <row r="86" s="131" customFormat="1" ht="14" x14ac:dyDescent="0.2"/>
    <row r="87" s="131" customFormat="1" ht="14" x14ac:dyDescent="0.2"/>
    <row r="88" s="131" customFormat="1" ht="14" x14ac:dyDescent="0.2"/>
    <row r="89" s="131" customFormat="1" ht="14" x14ac:dyDescent="0.2"/>
    <row r="90" s="131" customFormat="1" ht="14" x14ac:dyDescent="0.2"/>
    <row r="91" s="131" customFormat="1" ht="14" x14ac:dyDescent="0.2"/>
    <row r="92" s="131" customFormat="1" ht="14" x14ac:dyDescent="0.2"/>
    <row r="93" s="131" customFormat="1" ht="14" x14ac:dyDescent="0.2"/>
    <row r="94" s="131" customFormat="1" ht="14" x14ac:dyDescent="0.2"/>
    <row r="95" s="131" customFormat="1" ht="14" x14ac:dyDescent="0.2"/>
    <row r="96" s="131" customFormat="1" ht="14" x14ac:dyDescent="0.2"/>
    <row r="97" s="131" customFormat="1" ht="14" x14ac:dyDescent="0.2"/>
    <row r="98" s="131" customFormat="1" ht="14" x14ac:dyDescent="0.2"/>
    <row r="99" s="131" customFormat="1" ht="14" x14ac:dyDescent="0.2"/>
    <row r="100" s="131" customFormat="1" ht="14" x14ac:dyDescent="0.2"/>
    <row r="101" s="131" customFormat="1" ht="14" x14ac:dyDescent="0.2"/>
    <row r="102" s="131" customFormat="1" ht="14" x14ac:dyDescent="0.2"/>
    <row r="103" s="131" customFormat="1" ht="14" x14ac:dyDescent="0.2"/>
    <row r="104" s="131" customFormat="1" ht="14" x14ac:dyDescent="0.2"/>
    <row r="105" s="131" customFormat="1" ht="14" x14ac:dyDescent="0.2"/>
    <row r="106" s="131" customFormat="1" ht="14" x14ac:dyDescent="0.2"/>
    <row r="107" s="131" customFormat="1" ht="14" x14ac:dyDescent="0.2"/>
    <row r="108" s="131" customFormat="1" ht="14" x14ac:dyDescent="0.2"/>
    <row r="109" s="131" customFormat="1" ht="14" x14ac:dyDescent="0.2"/>
    <row r="110" s="131" customFormat="1" ht="14" x14ac:dyDescent="0.2"/>
    <row r="111" s="131" customFormat="1" ht="14" x14ac:dyDescent="0.2"/>
    <row r="112" s="131" customFormat="1" ht="14" x14ac:dyDescent="0.2"/>
    <row r="113" s="131" customFormat="1" ht="14" x14ac:dyDescent="0.2"/>
    <row r="114" s="131" customFormat="1" ht="14" x14ac:dyDescent="0.2"/>
    <row r="115" s="131" customFormat="1" ht="14" x14ac:dyDescent="0.2"/>
    <row r="116" s="131" customFormat="1" ht="14" x14ac:dyDescent="0.2"/>
    <row r="117" s="131" customFormat="1" ht="14" x14ac:dyDescent="0.2"/>
    <row r="118" s="131" customFormat="1" ht="14" x14ac:dyDescent="0.2"/>
    <row r="119" s="131" customFormat="1" ht="14" x14ac:dyDescent="0.2"/>
    <row r="120" s="131" customFormat="1" ht="14" x14ac:dyDescent="0.2"/>
    <row r="121" s="131" customFormat="1" ht="14" x14ac:dyDescent="0.2"/>
    <row r="122" s="131" customFormat="1" ht="14" x14ac:dyDescent="0.2"/>
    <row r="123" s="131" customFormat="1" ht="14" x14ac:dyDescent="0.2"/>
    <row r="124" s="131" customFormat="1" ht="14" x14ac:dyDescent="0.2"/>
    <row r="125" s="131" customFormat="1" ht="14" x14ac:dyDescent="0.2"/>
    <row r="126" s="131" customFormat="1" ht="14" x14ac:dyDescent="0.2"/>
    <row r="127" s="131" customFormat="1" ht="14" x14ac:dyDescent="0.2"/>
    <row r="128" s="131" customFormat="1" ht="14" x14ac:dyDescent="0.2"/>
    <row r="129" s="131" customFormat="1" ht="14" x14ac:dyDescent="0.2"/>
    <row r="130" s="131" customFormat="1" ht="14" x14ac:dyDescent="0.2"/>
    <row r="131" s="131" customFormat="1" ht="14" x14ac:dyDescent="0.2"/>
    <row r="132" s="131" customFormat="1" ht="14" x14ac:dyDescent="0.2"/>
    <row r="133" s="131" customFormat="1" ht="14" x14ac:dyDescent="0.2"/>
    <row r="134" s="131" customFormat="1" ht="14" x14ac:dyDescent="0.2"/>
    <row r="135" s="131" customFormat="1" ht="14" x14ac:dyDescent="0.2"/>
    <row r="136" s="131" customFormat="1" ht="14" x14ac:dyDescent="0.2"/>
    <row r="137" s="131" customFormat="1" ht="14" x14ac:dyDescent="0.2"/>
    <row r="138" s="131" customFormat="1" ht="14" x14ac:dyDescent="0.2"/>
    <row r="139" s="131" customFormat="1" ht="14" x14ac:dyDescent="0.2"/>
    <row r="140" s="131" customFormat="1" ht="14" x14ac:dyDescent="0.2"/>
    <row r="141" s="131" customFormat="1" ht="14" x14ac:dyDescent="0.2"/>
    <row r="142" s="131" customFormat="1" ht="14" x14ac:dyDescent="0.2"/>
    <row r="143" s="131" customFormat="1" ht="14" x14ac:dyDescent="0.2"/>
    <row r="144" s="131" customFormat="1" ht="14" x14ac:dyDescent="0.2"/>
    <row r="145" s="131" customFormat="1" ht="14" x14ac:dyDescent="0.2"/>
    <row r="146" s="131" customFormat="1" ht="14" x14ac:dyDescent="0.2"/>
    <row r="147" s="131" customFormat="1" ht="14" x14ac:dyDescent="0.2"/>
    <row r="148" s="131" customFormat="1" ht="14" x14ac:dyDescent="0.2"/>
    <row r="149" s="131" customFormat="1" ht="14" x14ac:dyDescent="0.2"/>
    <row r="150" s="131" customFormat="1" ht="14" x14ac:dyDescent="0.2"/>
    <row r="151" s="131" customFormat="1" ht="14" x14ac:dyDescent="0.2"/>
    <row r="152" s="131" customFormat="1" ht="14" x14ac:dyDescent="0.2"/>
    <row r="153" s="131" customFormat="1" ht="14" x14ac:dyDescent="0.2"/>
    <row r="154" s="131" customFormat="1" ht="14" x14ac:dyDescent="0.2"/>
    <row r="155" s="131" customFormat="1" ht="14" x14ac:dyDescent="0.2"/>
    <row r="156" s="131" customFormat="1" ht="14" x14ac:dyDescent="0.2"/>
    <row r="157" s="131" customFormat="1" ht="14" x14ac:dyDescent="0.2"/>
    <row r="158" s="131" customFormat="1" ht="14" x14ac:dyDescent="0.2"/>
    <row r="159" s="131" customFormat="1" ht="14" x14ac:dyDescent="0.2"/>
    <row r="160" s="131" customFormat="1" ht="14" x14ac:dyDescent="0.2"/>
    <row r="161" s="131" customFormat="1" ht="14" x14ac:dyDescent="0.2"/>
    <row r="162" s="131" customFormat="1" ht="14" x14ac:dyDescent="0.2"/>
    <row r="163" s="131" customFormat="1" ht="14" x14ac:dyDescent="0.2"/>
    <row r="164" s="131" customFormat="1" ht="14" x14ac:dyDescent="0.2"/>
    <row r="165" s="131" customFormat="1" ht="14" x14ac:dyDescent="0.2"/>
    <row r="166" s="131" customFormat="1" ht="14" x14ac:dyDescent="0.2"/>
    <row r="167" s="131" customFormat="1" ht="14" x14ac:dyDescent="0.2"/>
    <row r="168" s="131" customFormat="1" ht="14" x14ac:dyDescent="0.2"/>
    <row r="169" s="131" customFormat="1" ht="14" x14ac:dyDescent="0.2"/>
    <row r="170" s="131" customFormat="1" ht="14" x14ac:dyDescent="0.2"/>
    <row r="171" s="131" customFormat="1" ht="14" x14ac:dyDescent="0.2"/>
    <row r="172" s="131" customFormat="1" ht="14" x14ac:dyDescent="0.2"/>
    <row r="173" s="131" customFormat="1" ht="14" x14ac:dyDescent="0.2"/>
    <row r="174" s="131" customFormat="1" ht="14" x14ac:dyDescent="0.2"/>
    <row r="175" s="131" customFormat="1" ht="14" x14ac:dyDescent="0.2"/>
    <row r="176" s="131" customFormat="1" ht="14" x14ac:dyDescent="0.2"/>
    <row r="177" s="131" customFormat="1" ht="14" x14ac:dyDescent="0.2"/>
    <row r="178" s="131" customFormat="1" ht="14" x14ac:dyDescent="0.2"/>
    <row r="179" s="131" customFormat="1" ht="14" x14ac:dyDescent="0.2"/>
    <row r="180" s="131" customFormat="1" ht="14" x14ac:dyDescent="0.2"/>
    <row r="181" s="131" customFormat="1" ht="14" x14ac:dyDescent="0.2"/>
    <row r="182" s="131" customFormat="1" ht="14" x14ac:dyDescent="0.2"/>
    <row r="183" s="131" customFormat="1" ht="14" x14ac:dyDescent="0.2"/>
    <row r="184" s="131" customFormat="1" ht="14" x14ac:dyDescent="0.2"/>
    <row r="185" s="131" customFormat="1" ht="14" x14ac:dyDescent="0.2"/>
    <row r="186" s="131" customFormat="1" ht="14" x14ac:dyDescent="0.2"/>
    <row r="187" s="131" customFormat="1" ht="14" x14ac:dyDescent="0.2"/>
    <row r="188" s="131" customFormat="1" ht="14" x14ac:dyDescent="0.2"/>
    <row r="189" s="131" customFormat="1" ht="14" x14ac:dyDescent="0.2"/>
    <row r="190" s="131" customFormat="1" ht="14" x14ac:dyDescent="0.2"/>
    <row r="191" s="131" customFormat="1" ht="14" x14ac:dyDescent="0.2"/>
    <row r="192" s="131" customFormat="1" ht="14" x14ac:dyDescent="0.2"/>
    <row r="193" s="131" customFormat="1" ht="14" x14ac:dyDescent="0.2"/>
    <row r="194" s="131" customFormat="1" ht="14" x14ac:dyDescent="0.2"/>
    <row r="195" s="131" customFormat="1" ht="14" x14ac:dyDescent="0.2"/>
    <row r="196" s="131" customFormat="1" ht="14" x14ac:dyDescent="0.2"/>
    <row r="197" s="131" customFormat="1" ht="14" x14ac:dyDescent="0.2"/>
    <row r="198" s="131" customFormat="1" ht="14" x14ac:dyDescent="0.2"/>
    <row r="199" s="131" customFormat="1" ht="14" x14ac:dyDescent="0.2"/>
    <row r="200" s="131" customFormat="1" ht="14" x14ac:dyDescent="0.2"/>
    <row r="201" s="131" customFormat="1" ht="14" x14ac:dyDescent="0.2"/>
    <row r="202" s="131" customFormat="1" ht="14" x14ac:dyDescent="0.2"/>
    <row r="203" s="131" customFormat="1" ht="14" x14ac:dyDescent="0.2"/>
    <row r="204" s="131" customFormat="1" ht="14" x14ac:dyDescent="0.2"/>
    <row r="205" s="131" customFormat="1" ht="14" x14ac:dyDescent="0.2"/>
    <row r="206" s="131" customFormat="1" ht="14" x14ac:dyDescent="0.2"/>
    <row r="207" s="131" customFormat="1" ht="14" x14ac:dyDescent="0.2"/>
    <row r="208" s="131" customFormat="1" ht="14" x14ac:dyDescent="0.2"/>
    <row r="209" s="131" customFormat="1" ht="14" x14ac:dyDescent="0.2"/>
    <row r="210" s="131" customFormat="1" ht="14" x14ac:dyDescent="0.2"/>
    <row r="211" s="131" customFormat="1" ht="14" x14ac:dyDescent="0.2"/>
    <row r="212" s="131" customFormat="1" ht="14" x14ac:dyDescent="0.2"/>
    <row r="213" s="131" customFormat="1" ht="14" x14ac:dyDescent="0.2"/>
    <row r="214" s="131" customFormat="1" ht="14" x14ac:dyDescent="0.2"/>
    <row r="215" s="131" customFormat="1" ht="14" x14ac:dyDescent="0.2"/>
    <row r="216" s="131" customFormat="1" ht="14" x14ac:dyDescent="0.2"/>
    <row r="217" s="131" customFormat="1" ht="14" x14ac:dyDescent="0.2"/>
    <row r="218" s="131" customFormat="1" ht="14" x14ac:dyDescent="0.2"/>
    <row r="219" s="131" customFormat="1" ht="14" x14ac:dyDescent="0.2"/>
    <row r="220" s="131" customFormat="1" ht="14" x14ac:dyDescent="0.2"/>
    <row r="221" s="131" customFormat="1" ht="14" x14ac:dyDescent="0.2"/>
    <row r="222" s="131" customFormat="1" ht="14" x14ac:dyDescent="0.2"/>
    <row r="223" s="131" customFormat="1" ht="14" x14ac:dyDescent="0.2"/>
    <row r="224" s="131" customFormat="1" ht="14" x14ac:dyDescent="0.2"/>
    <row r="225" s="131" customFormat="1" ht="14" x14ac:dyDescent="0.2"/>
    <row r="226" s="131" customFormat="1" ht="14" x14ac:dyDescent="0.2"/>
    <row r="227" s="131" customFormat="1" ht="14" x14ac:dyDescent="0.2"/>
    <row r="228" s="131" customFormat="1" ht="14" x14ac:dyDescent="0.2"/>
    <row r="229" s="131" customFormat="1" ht="14" x14ac:dyDescent="0.2"/>
    <row r="230" s="131" customFormat="1" ht="14" x14ac:dyDescent="0.2"/>
    <row r="231" s="131" customFormat="1" ht="14" x14ac:dyDescent="0.2"/>
    <row r="232" s="131" customFormat="1" ht="14" x14ac:dyDescent="0.2"/>
    <row r="233" s="131" customFormat="1" ht="14" x14ac:dyDescent="0.2"/>
    <row r="234" s="131" customFormat="1" ht="14" x14ac:dyDescent="0.2"/>
    <row r="235" s="131" customFormat="1" ht="14" x14ac:dyDescent="0.2"/>
    <row r="236" s="131" customFormat="1" ht="14" x14ac:dyDescent="0.2"/>
    <row r="237" s="131" customFormat="1" ht="14" x14ac:dyDescent="0.2"/>
    <row r="238" s="131" customFormat="1" ht="14" x14ac:dyDescent="0.2"/>
    <row r="239" s="131" customFormat="1" ht="14" x14ac:dyDescent="0.2"/>
    <row r="240" s="131" customFormat="1" ht="14" x14ac:dyDescent="0.2"/>
    <row r="241" s="131" customFormat="1" ht="14" x14ac:dyDescent="0.2"/>
    <row r="242" s="131" customFormat="1" ht="14" x14ac:dyDescent="0.2"/>
    <row r="243" s="131" customFormat="1" ht="14" x14ac:dyDescent="0.2"/>
    <row r="244" s="131" customFormat="1" ht="14" x14ac:dyDescent="0.2"/>
    <row r="245" s="131" customFormat="1" ht="14" x14ac:dyDescent="0.2"/>
    <row r="246" s="131" customFormat="1" ht="14" x14ac:dyDescent="0.2"/>
    <row r="247" s="131" customFormat="1" ht="14" x14ac:dyDescent="0.2"/>
    <row r="248" s="131" customFormat="1" ht="14" x14ac:dyDescent="0.2"/>
    <row r="249" s="131" customFormat="1" ht="14" x14ac:dyDescent="0.2"/>
    <row r="250" s="131" customFormat="1" ht="14" x14ac:dyDescent="0.2"/>
    <row r="251" s="131" customFormat="1" ht="14" x14ac:dyDescent="0.2"/>
    <row r="252" s="131" customFormat="1" ht="14" x14ac:dyDescent="0.2"/>
    <row r="253" s="131" customFormat="1" ht="14" x14ac:dyDescent="0.2"/>
    <row r="254" s="131" customFormat="1" ht="14" x14ac:dyDescent="0.2"/>
    <row r="255" s="131" customFormat="1" ht="14" x14ac:dyDescent="0.2"/>
    <row r="256" s="131" customFormat="1" ht="14" x14ac:dyDescent="0.2"/>
    <row r="257" s="131" customFormat="1" ht="14" x14ac:dyDescent="0.2"/>
    <row r="258" s="131" customFormat="1" ht="14" x14ac:dyDescent="0.2"/>
    <row r="259" s="131" customFormat="1" ht="14" x14ac:dyDescent="0.2"/>
    <row r="260" s="131" customFormat="1" ht="14" x14ac:dyDescent="0.2"/>
    <row r="261" s="131" customFormat="1" ht="14" x14ac:dyDescent="0.2"/>
    <row r="262" s="131" customFormat="1" ht="14" x14ac:dyDescent="0.2"/>
    <row r="263" s="131" customFormat="1" ht="14" x14ac:dyDescent="0.2"/>
    <row r="264" s="131" customFormat="1" ht="14" x14ac:dyDescent="0.2"/>
    <row r="265" s="131" customFormat="1" ht="14" x14ac:dyDescent="0.2"/>
    <row r="266" s="131" customFormat="1" ht="14" x14ac:dyDescent="0.2"/>
    <row r="267" s="131" customFormat="1" ht="14" x14ac:dyDescent="0.2"/>
    <row r="268" s="131" customFormat="1" ht="14" x14ac:dyDescent="0.2"/>
    <row r="269" s="131" customFormat="1" ht="14" x14ac:dyDescent="0.2"/>
    <row r="270" s="131" customFormat="1" ht="14" x14ac:dyDescent="0.2"/>
    <row r="271" s="131" customFormat="1" ht="14" x14ac:dyDescent="0.2"/>
    <row r="272" s="131" customFormat="1" ht="14" x14ac:dyDescent="0.2"/>
    <row r="273" s="131" customFormat="1" ht="14" x14ac:dyDescent="0.2"/>
    <row r="274" s="131" customFormat="1" ht="14" x14ac:dyDescent="0.2"/>
    <row r="275" s="131" customFormat="1" ht="14" x14ac:dyDescent="0.2"/>
    <row r="276" s="131" customFormat="1" ht="14" x14ac:dyDescent="0.2"/>
    <row r="277" s="131" customFormat="1" ht="14" x14ac:dyDescent="0.2"/>
    <row r="278" s="131" customFormat="1" ht="14" x14ac:dyDescent="0.2"/>
    <row r="279" s="131" customFormat="1" ht="14" x14ac:dyDescent="0.2"/>
    <row r="280" s="131" customFormat="1" ht="14" x14ac:dyDescent="0.2"/>
    <row r="281" s="131" customFormat="1" ht="14" x14ac:dyDescent="0.2"/>
    <row r="282" s="131" customFormat="1" ht="14" x14ac:dyDescent="0.2"/>
    <row r="283" s="131" customFormat="1" ht="14" x14ac:dyDescent="0.2"/>
    <row r="284" s="131" customFormat="1" ht="14" x14ac:dyDescent="0.2"/>
    <row r="285" s="131" customFormat="1" ht="14" x14ac:dyDescent="0.2"/>
    <row r="286" s="131" customFormat="1" ht="14" x14ac:dyDescent="0.2"/>
    <row r="287" s="131" customFormat="1" ht="14" x14ac:dyDescent="0.2"/>
    <row r="288" s="131" customFormat="1" ht="14" x14ac:dyDescent="0.2"/>
    <row r="289" s="131" customFormat="1" ht="14" x14ac:dyDescent="0.2"/>
  </sheetData>
  <phoneticPr fontId="1"/>
  <pageMargins left="0" right="0" top="0.35433070866141736" bottom="0" header="0.31496062992125984" footer="0.31496062992125984"/>
  <pageSetup paperSize="9" scale="98" orientation="portrait" r:id="rId1"/>
  <headerFooter>
    <oddHeader>&amp;R&amp;P/&amp;N</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307"/>
  <sheetViews>
    <sheetView showGridLines="0" view="pageBreakPreview" zoomScale="145" zoomScaleNormal="100" zoomScaleSheetLayoutView="145" workbookViewId="0">
      <selection activeCell="D24" sqref="D24"/>
    </sheetView>
  </sheetViews>
  <sheetFormatPr defaultRowHeight="15.5" x14ac:dyDescent="0.2"/>
  <cols>
    <col min="1" max="1" width="1.08984375" style="132" customWidth="1"/>
    <col min="2" max="2" width="51.26953125" style="132" customWidth="1"/>
    <col min="3" max="3" width="2.90625" style="184" customWidth="1"/>
    <col min="4" max="4" width="51.81640625" style="132" customWidth="1"/>
    <col min="5" max="5" width="1.7265625" style="132" customWidth="1"/>
    <col min="6" max="9" width="8.7265625" style="132"/>
    <col min="10" max="10" width="3.453125" style="132" customWidth="1"/>
    <col min="11" max="11" width="3.81640625" style="132" customWidth="1"/>
    <col min="12" max="12" width="2.6328125" style="132" customWidth="1"/>
    <col min="13" max="13" width="1.7265625" style="132" customWidth="1"/>
    <col min="14" max="16384" width="8.7265625" style="132"/>
  </cols>
  <sheetData>
    <row r="1" spans="1:4" s="131" customFormat="1" ht="14" x14ac:dyDescent="0.2">
      <c r="A1" s="201" t="s">
        <v>343</v>
      </c>
      <c r="B1" s="201"/>
      <c r="C1" s="201"/>
      <c r="D1" s="201"/>
    </row>
    <row r="2" spans="1:4" ht="26" customHeight="1" x14ac:dyDescent="0.2">
      <c r="B2" s="151" t="s">
        <v>348</v>
      </c>
      <c r="C2" s="174"/>
    </row>
    <row r="3" spans="1:4" ht="14" customHeight="1" x14ac:dyDescent="0.2">
      <c r="B3" s="185"/>
      <c r="C3" s="174"/>
    </row>
    <row r="4" spans="1:4" ht="14" customHeight="1" x14ac:dyDescent="0.2">
      <c r="B4" s="151"/>
      <c r="C4" s="174"/>
    </row>
    <row r="5" spans="1:4" ht="14" customHeight="1" x14ac:dyDescent="0.2">
      <c r="B5" s="191" t="s">
        <v>277</v>
      </c>
      <c r="C5" s="174"/>
    </row>
    <row r="6" spans="1:4" s="131" customFormat="1" ht="18.5" customHeight="1" x14ac:dyDescent="0.2">
      <c r="B6" s="186" t="s">
        <v>314</v>
      </c>
      <c r="C6" s="175"/>
      <c r="D6" s="150" t="s">
        <v>315</v>
      </c>
    </row>
    <row r="7" spans="1:4" s="131" customFormat="1" ht="18.5" customHeight="1" x14ac:dyDescent="0.2">
      <c r="B7" s="155" t="s">
        <v>329</v>
      </c>
      <c r="C7" s="153"/>
      <c r="D7" s="157" t="s">
        <v>329</v>
      </c>
    </row>
    <row r="8" spans="1:4" s="131" customFormat="1" ht="18.5" customHeight="1" x14ac:dyDescent="0.2">
      <c r="B8" s="155" t="s">
        <v>317</v>
      </c>
      <c r="C8" s="153"/>
      <c r="D8" s="157" t="s">
        <v>318</v>
      </c>
    </row>
    <row r="9" spans="1:4" s="131" customFormat="1" ht="18.5" customHeight="1" x14ac:dyDescent="0.2">
      <c r="B9" s="189" t="s">
        <v>331</v>
      </c>
      <c r="C9" s="155"/>
      <c r="D9" s="190" t="s">
        <v>339</v>
      </c>
    </row>
    <row r="10" spans="1:4" s="131" customFormat="1" ht="18.5" customHeight="1" x14ac:dyDescent="0.2">
      <c r="B10" s="155" t="s">
        <v>318</v>
      </c>
      <c r="C10" s="155"/>
      <c r="D10" s="157" t="s">
        <v>318</v>
      </c>
    </row>
    <row r="11" spans="1:4" s="131" customFormat="1" ht="18.5" customHeight="1" x14ac:dyDescent="0.2">
      <c r="B11" s="155" t="s">
        <v>320</v>
      </c>
      <c r="C11" s="155"/>
      <c r="D11" s="155" t="s">
        <v>320</v>
      </c>
    </row>
    <row r="12" spans="1:4" s="131" customFormat="1" ht="18.5" customHeight="1" x14ac:dyDescent="0.2">
      <c r="B12" s="155" t="s">
        <v>319</v>
      </c>
      <c r="C12" s="156"/>
      <c r="D12" s="155" t="s">
        <v>319</v>
      </c>
    </row>
    <row r="13" spans="1:4" s="131" customFormat="1" ht="18.5" customHeight="1" x14ac:dyDescent="0.2">
      <c r="B13" s="155" t="s">
        <v>321</v>
      </c>
      <c r="C13" s="155"/>
      <c r="D13" s="155" t="s">
        <v>321</v>
      </c>
    </row>
    <row r="14" spans="1:4" s="131" customFormat="1" ht="18.5" customHeight="1" x14ac:dyDescent="0.2">
      <c r="B14" s="155" t="s">
        <v>318</v>
      </c>
      <c r="C14" s="155"/>
      <c r="D14" s="155" t="s">
        <v>318</v>
      </c>
    </row>
    <row r="15" spans="1:4" s="131" customFormat="1" ht="18.5" customHeight="1" x14ac:dyDescent="0.2">
      <c r="B15" s="189" t="s">
        <v>322</v>
      </c>
      <c r="C15" s="155"/>
      <c r="D15" s="188" t="s">
        <v>330</v>
      </c>
    </row>
    <row r="16" spans="1:4" s="131" customFormat="1" ht="18.5" customHeight="1" x14ac:dyDescent="0.2">
      <c r="B16" s="155" t="s">
        <v>323</v>
      </c>
      <c r="C16" s="156"/>
      <c r="D16" s="157" t="s">
        <v>323</v>
      </c>
    </row>
    <row r="17" spans="2:4" s="131" customFormat="1" ht="18.5" customHeight="1" x14ac:dyDescent="0.2">
      <c r="B17" s="155" t="s">
        <v>325</v>
      </c>
      <c r="C17" s="156"/>
      <c r="D17" s="155" t="s">
        <v>325</v>
      </c>
    </row>
    <row r="18" spans="2:4" s="131" customFormat="1" ht="18.5" customHeight="1" x14ac:dyDescent="0.2">
      <c r="B18" s="155" t="s">
        <v>318</v>
      </c>
      <c r="C18" s="155"/>
      <c r="D18" s="157" t="s">
        <v>332</v>
      </c>
    </row>
    <row r="19" spans="2:4" s="131" customFormat="1" ht="18.5" customHeight="1" x14ac:dyDescent="0.2">
      <c r="B19" s="155" t="s">
        <v>326</v>
      </c>
      <c r="C19" s="155"/>
      <c r="D19" s="155" t="s">
        <v>326</v>
      </c>
    </row>
    <row r="20" spans="2:4" s="131" customFormat="1" ht="18.5" customHeight="1" x14ac:dyDescent="0.2">
      <c r="B20" s="155" t="s">
        <v>318</v>
      </c>
      <c r="C20" s="155"/>
      <c r="D20" s="155" t="s">
        <v>318</v>
      </c>
    </row>
    <row r="21" spans="2:4" s="131" customFormat="1" ht="18.5" customHeight="1" x14ac:dyDescent="0.2">
      <c r="B21" s="189" t="s">
        <v>327</v>
      </c>
      <c r="C21" s="156"/>
      <c r="D21" s="188" t="s">
        <v>333</v>
      </c>
    </row>
    <row r="22" spans="2:4" s="131" customFormat="1" ht="18.5" customHeight="1" x14ac:dyDescent="0.2">
      <c r="B22" s="155" t="s">
        <v>318</v>
      </c>
      <c r="C22" s="156"/>
      <c r="D22" s="157" t="s">
        <v>318</v>
      </c>
    </row>
    <row r="23" spans="2:4" s="131" customFormat="1" ht="18.5" customHeight="1" x14ac:dyDescent="0.2">
      <c r="B23" s="155" t="s">
        <v>328</v>
      </c>
      <c r="C23" s="156"/>
      <c r="D23" s="157" t="s">
        <v>328</v>
      </c>
    </row>
    <row r="24" spans="2:4" s="131" customFormat="1" ht="14" x14ac:dyDescent="0.2">
      <c r="B24" s="148"/>
      <c r="C24" s="176"/>
      <c r="D24" s="187"/>
    </row>
    <row r="25" spans="2:4" s="131" customFormat="1" ht="14" x14ac:dyDescent="0.2">
      <c r="B25" s="159"/>
      <c r="C25" s="173"/>
      <c r="D25" s="159"/>
    </row>
    <row r="26" spans="2:4" ht="14" customHeight="1" x14ac:dyDescent="0.2">
      <c r="B26" s="151"/>
      <c r="C26" s="174"/>
    </row>
    <row r="27" spans="2:4" ht="14" customHeight="1" x14ac:dyDescent="0.2">
      <c r="B27" s="185" t="s">
        <v>297</v>
      </c>
      <c r="C27" s="174"/>
    </row>
    <row r="28" spans="2:4" s="131" customFormat="1" ht="14" x14ac:dyDescent="0.2">
      <c r="B28" s="149" t="s">
        <v>278</v>
      </c>
      <c r="C28" s="175"/>
      <c r="D28" s="150" t="s">
        <v>279</v>
      </c>
    </row>
    <row r="29" spans="2:4" s="131" customFormat="1" ht="14" x14ac:dyDescent="0.2">
      <c r="B29" s="155" t="s">
        <v>329</v>
      </c>
      <c r="C29" s="175"/>
      <c r="D29" s="155" t="s">
        <v>329</v>
      </c>
    </row>
    <row r="30" spans="2:4" s="131" customFormat="1" ht="14" x14ac:dyDescent="0.2">
      <c r="B30" s="155" t="s">
        <v>318</v>
      </c>
      <c r="C30" s="175"/>
      <c r="D30" s="155" t="s">
        <v>318</v>
      </c>
    </row>
    <row r="31" spans="2:4" s="131" customFormat="1" ht="14" x14ac:dyDescent="0.2">
      <c r="B31" s="155" t="s">
        <v>334</v>
      </c>
      <c r="C31" s="175"/>
      <c r="D31" s="155" t="s">
        <v>334</v>
      </c>
    </row>
    <row r="32" spans="2:4" s="131" customFormat="1" ht="14" x14ac:dyDescent="0.2">
      <c r="B32" s="155" t="s">
        <v>335</v>
      </c>
      <c r="C32" s="175"/>
      <c r="D32" s="155" t="s">
        <v>335</v>
      </c>
    </row>
    <row r="33" spans="2:4" s="131" customFormat="1" ht="14" x14ac:dyDescent="0.2">
      <c r="B33" s="189" t="s">
        <v>336</v>
      </c>
      <c r="C33" s="153"/>
      <c r="D33" s="188" t="s">
        <v>340</v>
      </c>
    </row>
    <row r="34" spans="2:4" s="131" customFormat="1" ht="14" x14ac:dyDescent="0.2">
      <c r="B34" s="155" t="s">
        <v>318</v>
      </c>
      <c r="C34" s="155"/>
      <c r="D34" s="155" t="s">
        <v>318</v>
      </c>
    </row>
    <row r="35" spans="2:4" s="131" customFormat="1" ht="14" x14ac:dyDescent="0.2">
      <c r="B35" s="155" t="s">
        <v>337</v>
      </c>
      <c r="C35" s="156"/>
      <c r="D35" s="155" t="s">
        <v>337</v>
      </c>
    </row>
    <row r="36" spans="2:4" s="131" customFormat="1" ht="14" x14ac:dyDescent="0.2">
      <c r="B36" s="155" t="s">
        <v>318</v>
      </c>
      <c r="C36" s="156"/>
      <c r="D36" s="155" t="s">
        <v>318</v>
      </c>
    </row>
    <row r="37" spans="2:4" s="131" customFormat="1" ht="14" x14ac:dyDescent="0.2">
      <c r="B37" s="189" t="s">
        <v>338</v>
      </c>
      <c r="C37" s="156"/>
      <c r="D37" s="188" t="s">
        <v>341</v>
      </c>
    </row>
    <row r="38" spans="2:4" s="131" customFormat="1" ht="14" x14ac:dyDescent="0.2">
      <c r="B38" s="160"/>
      <c r="C38" s="156"/>
      <c r="D38" s="161"/>
    </row>
    <row r="39" spans="2:4" s="131" customFormat="1" ht="14" x14ac:dyDescent="0.2">
      <c r="B39" s="142"/>
      <c r="C39" s="177"/>
    </row>
    <row r="40" spans="2:4" s="131" customFormat="1" ht="14" x14ac:dyDescent="0.2">
      <c r="B40" s="142"/>
      <c r="C40" s="177"/>
    </row>
    <row r="41" spans="2:4" s="131" customFormat="1" ht="14" x14ac:dyDescent="0.2">
      <c r="B41" s="192" t="s">
        <v>342</v>
      </c>
      <c r="C41" s="177"/>
    </row>
    <row r="42" spans="2:4" s="131" customFormat="1" ht="14" x14ac:dyDescent="0.2">
      <c r="B42" s="142"/>
      <c r="C42" s="177"/>
    </row>
    <row r="43" spans="2:4" s="131" customFormat="1" ht="14" x14ac:dyDescent="0.2">
      <c r="B43" s="142"/>
      <c r="C43" s="177"/>
    </row>
    <row r="44" spans="2:4" s="131" customFormat="1" ht="14" x14ac:dyDescent="0.2">
      <c r="B44" s="142"/>
      <c r="C44" s="177"/>
    </row>
    <row r="45" spans="2:4" s="131" customFormat="1" ht="14" x14ac:dyDescent="0.2">
      <c r="B45" s="142"/>
      <c r="C45" s="177"/>
    </row>
    <row r="46" spans="2:4" s="131" customFormat="1" ht="14" x14ac:dyDescent="0.2">
      <c r="B46" s="142"/>
      <c r="C46" s="177"/>
    </row>
    <row r="47" spans="2:4" s="131" customFormat="1" ht="14" x14ac:dyDescent="0.2">
      <c r="B47" s="142"/>
      <c r="C47" s="177"/>
    </row>
    <row r="48" spans="2:4" s="131" customFormat="1" ht="14" x14ac:dyDescent="0.2">
      <c r="B48" s="142"/>
      <c r="C48" s="177"/>
    </row>
    <row r="49" spans="2:3" s="131" customFormat="1" ht="14" x14ac:dyDescent="0.2">
      <c r="B49" s="138"/>
      <c r="C49" s="178"/>
    </row>
    <row r="50" spans="2:3" x14ac:dyDescent="0.2">
      <c r="B50" s="178" t="s">
        <v>324</v>
      </c>
      <c r="C50" s="179"/>
    </row>
    <row r="51" spans="2:3" x14ac:dyDescent="0.2">
      <c r="B51" s="136"/>
      <c r="C51" s="179"/>
    </row>
    <row r="52" spans="2:3" s="131" customFormat="1" ht="14" x14ac:dyDescent="0.2">
      <c r="B52" s="138"/>
      <c r="C52" s="178"/>
    </row>
    <row r="53" spans="2:3" s="131" customFormat="1" ht="14" x14ac:dyDescent="0.2">
      <c r="C53" s="180"/>
    </row>
    <row r="54" spans="2:3" s="131" customFormat="1" ht="14" x14ac:dyDescent="0.2">
      <c r="B54" s="139"/>
      <c r="C54" s="181"/>
    </row>
    <row r="55" spans="2:3" s="131" customFormat="1" ht="14" x14ac:dyDescent="0.2">
      <c r="B55" s="138"/>
      <c r="C55" s="178"/>
    </row>
    <row r="56" spans="2:3" s="131" customFormat="1" ht="14" x14ac:dyDescent="0.2">
      <c r="B56" s="138"/>
      <c r="C56" s="178"/>
    </row>
    <row r="57" spans="2:3" s="131" customFormat="1" ht="14" x14ac:dyDescent="0.2">
      <c r="B57" s="138"/>
      <c r="C57" s="178"/>
    </row>
    <row r="58" spans="2:3" s="131" customFormat="1" ht="14" x14ac:dyDescent="0.2">
      <c r="B58" s="138"/>
      <c r="C58" s="178"/>
    </row>
    <row r="59" spans="2:3" s="131" customFormat="1" ht="14" x14ac:dyDescent="0.2">
      <c r="B59" s="135"/>
      <c r="C59" s="180"/>
    </row>
    <row r="60" spans="2:3" s="131" customFormat="1" ht="21" x14ac:dyDescent="0.2">
      <c r="B60" s="143"/>
      <c r="C60" s="182"/>
    </row>
    <row r="61" spans="2:3" s="131" customFormat="1" ht="14" x14ac:dyDescent="0.2">
      <c r="B61" s="139"/>
      <c r="C61" s="181"/>
    </row>
    <row r="62" spans="2:3" s="131" customFormat="1" ht="14" x14ac:dyDescent="0.2">
      <c r="B62" s="138"/>
      <c r="C62" s="178"/>
    </row>
    <row r="63" spans="2:3" s="131" customFormat="1" ht="14" x14ac:dyDescent="0.2">
      <c r="B63" s="138"/>
      <c r="C63" s="178"/>
    </row>
    <row r="64" spans="2:3" s="131" customFormat="1" ht="14" x14ac:dyDescent="0.2">
      <c r="B64" s="139"/>
      <c r="C64" s="181"/>
    </row>
    <row r="65" spans="2:3" s="131" customFormat="1" ht="14" x14ac:dyDescent="0.2">
      <c r="B65" s="138"/>
      <c r="C65" s="178"/>
    </row>
    <row r="66" spans="2:3" s="131" customFormat="1" ht="14" x14ac:dyDescent="0.2">
      <c r="B66" s="138"/>
      <c r="C66" s="178"/>
    </row>
    <row r="67" spans="2:3" s="131" customFormat="1" ht="14" x14ac:dyDescent="0.2">
      <c r="B67" s="138"/>
      <c r="C67" s="178"/>
    </row>
    <row r="68" spans="2:3" s="131" customFormat="1" ht="14" x14ac:dyDescent="0.2">
      <c r="B68" s="139"/>
      <c r="C68" s="181"/>
    </row>
    <row r="69" spans="2:3" s="131" customFormat="1" ht="14" x14ac:dyDescent="0.2">
      <c r="B69" s="138"/>
      <c r="C69" s="178"/>
    </row>
    <row r="70" spans="2:3" s="131" customFormat="1" ht="14" x14ac:dyDescent="0.2">
      <c r="B70" s="138"/>
      <c r="C70" s="178"/>
    </row>
    <row r="71" spans="2:3" s="131" customFormat="1" ht="14" x14ac:dyDescent="0.2">
      <c r="B71" s="138"/>
      <c r="C71" s="178"/>
    </row>
    <row r="72" spans="2:3" s="131" customFormat="1" ht="14" x14ac:dyDescent="0.2">
      <c r="B72" s="144"/>
      <c r="C72" s="183"/>
    </row>
    <row r="73" spans="2:3" s="131" customFormat="1" ht="14" x14ac:dyDescent="0.2">
      <c r="B73" s="138"/>
      <c r="C73" s="178"/>
    </row>
    <row r="74" spans="2:3" s="131" customFormat="1" ht="14" x14ac:dyDescent="0.2">
      <c r="B74" s="138"/>
      <c r="C74" s="178"/>
    </row>
    <row r="75" spans="2:3" s="131" customFormat="1" ht="14" x14ac:dyDescent="0.2">
      <c r="B75" s="135"/>
      <c r="C75" s="180"/>
    </row>
    <row r="76" spans="2:3" s="131" customFormat="1" ht="14" x14ac:dyDescent="0.2">
      <c r="B76" s="139"/>
      <c r="C76" s="181"/>
    </row>
    <row r="77" spans="2:3" s="131" customFormat="1" ht="14" x14ac:dyDescent="0.2">
      <c r="B77" s="138"/>
      <c r="C77" s="178"/>
    </row>
    <row r="78" spans="2:3" s="131" customFormat="1" ht="14" x14ac:dyDescent="0.2">
      <c r="B78" s="139"/>
      <c r="C78" s="181"/>
    </row>
    <row r="79" spans="2:3" s="131" customFormat="1" ht="14" x14ac:dyDescent="0.2">
      <c r="B79" s="138"/>
      <c r="C79" s="178"/>
    </row>
    <row r="80" spans="2:3" s="131" customFormat="1" ht="14" x14ac:dyDescent="0.2">
      <c r="B80" s="139"/>
      <c r="C80" s="181"/>
    </row>
    <row r="81" spans="2:3" s="131" customFormat="1" ht="14" x14ac:dyDescent="0.2">
      <c r="B81" s="138"/>
      <c r="C81" s="178"/>
    </row>
    <row r="82" spans="2:3" s="131" customFormat="1" ht="14" x14ac:dyDescent="0.2">
      <c r="B82" s="138"/>
      <c r="C82" s="178"/>
    </row>
    <row r="83" spans="2:3" s="131" customFormat="1" ht="14" x14ac:dyDescent="0.2">
      <c r="B83" s="138"/>
      <c r="C83" s="178"/>
    </row>
    <row r="84" spans="2:3" s="131" customFormat="1" ht="14" x14ac:dyDescent="0.2">
      <c r="C84" s="173"/>
    </row>
    <row r="85" spans="2:3" s="131" customFormat="1" ht="14" x14ac:dyDescent="0.2">
      <c r="C85" s="173"/>
    </row>
    <row r="86" spans="2:3" s="131" customFormat="1" ht="14" x14ac:dyDescent="0.2">
      <c r="C86" s="173"/>
    </row>
    <row r="87" spans="2:3" s="131" customFormat="1" ht="14" x14ac:dyDescent="0.2">
      <c r="C87" s="173"/>
    </row>
    <row r="88" spans="2:3" s="131" customFormat="1" ht="14" x14ac:dyDescent="0.2">
      <c r="C88" s="173"/>
    </row>
    <row r="89" spans="2:3" s="131" customFormat="1" ht="14" x14ac:dyDescent="0.2">
      <c r="C89" s="173"/>
    </row>
    <row r="90" spans="2:3" s="131" customFormat="1" ht="14" x14ac:dyDescent="0.2">
      <c r="C90" s="173"/>
    </row>
    <row r="91" spans="2:3" s="131" customFormat="1" ht="14" x14ac:dyDescent="0.2">
      <c r="C91" s="173"/>
    </row>
    <row r="92" spans="2:3" s="131" customFormat="1" ht="14" x14ac:dyDescent="0.2">
      <c r="C92" s="173"/>
    </row>
    <row r="93" spans="2:3" s="131" customFormat="1" ht="14" x14ac:dyDescent="0.2">
      <c r="C93" s="173"/>
    </row>
    <row r="94" spans="2:3" s="131" customFormat="1" ht="14" x14ac:dyDescent="0.2">
      <c r="C94" s="173"/>
    </row>
    <row r="95" spans="2:3" s="131" customFormat="1" ht="14" x14ac:dyDescent="0.2">
      <c r="C95" s="173"/>
    </row>
    <row r="96" spans="2:3" s="131" customFormat="1" ht="14" x14ac:dyDescent="0.2">
      <c r="C96" s="173"/>
    </row>
    <row r="97" spans="3:3" s="131" customFormat="1" ht="14" x14ac:dyDescent="0.2">
      <c r="C97" s="173"/>
    </row>
    <row r="98" spans="3:3" s="131" customFormat="1" ht="14" x14ac:dyDescent="0.2">
      <c r="C98" s="173"/>
    </row>
    <row r="99" spans="3:3" s="131" customFormat="1" ht="14" x14ac:dyDescent="0.2">
      <c r="C99" s="173"/>
    </row>
    <row r="100" spans="3:3" s="131" customFormat="1" ht="14" x14ac:dyDescent="0.2">
      <c r="C100" s="173"/>
    </row>
    <row r="101" spans="3:3" s="131" customFormat="1" ht="14" x14ac:dyDescent="0.2">
      <c r="C101" s="173"/>
    </row>
    <row r="102" spans="3:3" s="131" customFormat="1" ht="14" x14ac:dyDescent="0.2">
      <c r="C102" s="173"/>
    </row>
    <row r="103" spans="3:3" s="131" customFormat="1" ht="14" x14ac:dyDescent="0.2">
      <c r="C103" s="173"/>
    </row>
    <row r="104" spans="3:3" s="131" customFormat="1" ht="14" x14ac:dyDescent="0.2">
      <c r="C104" s="173"/>
    </row>
    <row r="105" spans="3:3" s="131" customFormat="1" ht="14" x14ac:dyDescent="0.2">
      <c r="C105" s="173"/>
    </row>
    <row r="106" spans="3:3" s="131" customFormat="1" ht="14" x14ac:dyDescent="0.2">
      <c r="C106" s="173"/>
    </row>
    <row r="107" spans="3:3" s="131" customFormat="1" ht="14" x14ac:dyDescent="0.2">
      <c r="C107" s="173"/>
    </row>
    <row r="108" spans="3:3" s="131" customFormat="1" ht="14" x14ac:dyDescent="0.2">
      <c r="C108" s="173"/>
    </row>
    <row r="109" spans="3:3" s="131" customFormat="1" ht="14" x14ac:dyDescent="0.2">
      <c r="C109" s="173"/>
    </row>
    <row r="110" spans="3:3" s="131" customFormat="1" ht="14" x14ac:dyDescent="0.2">
      <c r="C110" s="173"/>
    </row>
    <row r="111" spans="3:3" s="131" customFormat="1" ht="14" x14ac:dyDescent="0.2">
      <c r="C111" s="173"/>
    </row>
    <row r="112" spans="3:3" s="131" customFormat="1" ht="14" x14ac:dyDescent="0.2">
      <c r="C112" s="173"/>
    </row>
    <row r="113" spans="3:3" s="131" customFormat="1" ht="14" x14ac:dyDescent="0.2">
      <c r="C113" s="173"/>
    </row>
    <row r="114" spans="3:3" s="131" customFormat="1" ht="14" x14ac:dyDescent="0.2">
      <c r="C114" s="173"/>
    </row>
    <row r="115" spans="3:3" s="131" customFormat="1" ht="14" x14ac:dyDescent="0.2">
      <c r="C115" s="173"/>
    </row>
    <row r="116" spans="3:3" s="131" customFormat="1" ht="14" x14ac:dyDescent="0.2">
      <c r="C116" s="173"/>
    </row>
    <row r="117" spans="3:3" s="131" customFormat="1" ht="14" x14ac:dyDescent="0.2">
      <c r="C117" s="173"/>
    </row>
    <row r="118" spans="3:3" s="131" customFormat="1" ht="14" x14ac:dyDescent="0.2">
      <c r="C118" s="173"/>
    </row>
    <row r="119" spans="3:3" s="131" customFormat="1" ht="14" x14ac:dyDescent="0.2">
      <c r="C119" s="173"/>
    </row>
    <row r="120" spans="3:3" s="131" customFormat="1" ht="14" x14ac:dyDescent="0.2">
      <c r="C120" s="173"/>
    </row>
    <row r="121" spans="3:3" s="131" customFormat="1" ht="14" x14ac:dyDescent="0.2">
      <c r="C121" s="173"/>
    </row>
    <row r="122" spans="3:3" s="131" customFormat="1" ht="14" x14ac:dyDescent="0.2">
      <c r="C122" s="173"/>
    </row>
    <row r="123" spans="3:3" s="131" customFormat="1" ht="14" x14ac:dyDescent="0.2">
      <c r="C123" s="173"/>
    </row>
    <row r="124" spans="3:3" s="131" customFormat="1" ht="14" x14ac:dyDescent="0.2">
      <c r="C124" s="173"/>
    </row>
    <row r="125" spans="3:3" s="131" customFormat="1" ht="14" x14ac:dyDescent="0.2">
      <c r="C125" s="173"/>
    </row>
    <row r="126" spans="3:3" s="131" customFormat="1" ht="14" x14ac:dyDescent="0.2">
      <c r="C126" s="173"/>
    </row>
    <row r="127" spans="3:3" s="131" customFormat="1" ht="14" x14ac:dyDescent="0.2">
      <c r="C127" s="173"/>
    </row>
    <row r="128" spans="3:3" s="131" customFormat="1" ht="14" x14ac:dyDescent="0.2">
      <c r="C128" s="173"/>
    </row>
    <row r="129" spans="3:3" s="131" customFormat="1" ht="14" x14ac:dyDescent="0.2">
      <c r="C129" s="173"/>
    </row>
    <row r="130" spans="3:3" s="131" customFormat="1" ht="14" x14ac:dyDescent="0.2">
      <c r="C130" s="173"/>
    </row>
    <row r="131" spans="3:3" s="131" customFormat="1" ht="14" x14ac:dyDescent="0.2">
      <c r="C131" s="173"/>
    </row>
    <row r="132" spans="3:3" s="131" customFormat="1" ht="14" x14ac:dyDescent="0.2">
      <c r="C132" s="173"/>
    </row>
    <row r="133" spans="3:3" s="131" customFormat="1" ht="14" x14ac:dyDescent="0.2">
      <c r="C133" s="173"/>
    </row>
    <row r="134" spans="3:3" s="131" customFormat="1" ht="14" x14ac:dyDescent="0.2">
      <c r="C134" s="173"/>
    </row>
    <row r="135" spans="3:3" s="131" customFormat="1" ht="14" x14ac:dyDescent="0.2">
      <c r="C135" s="173"/>
    </row>
    <row r="136" spans="3:3" s="131" customFormat="1" ht="14" x14ac:dyDescent="0.2">
      <c r="C136" s="173"/>
    </row>
    <row r="137" spans="3:3" s="131" customFormat="1" ht="14" x14ac:dyDescent="0.2">
      <c r="C137" s="173"/>
    </row>
    <row r="138" spans="3:3" s="131" customFormat="1" ht="14" x14ac:dyDescent="0.2">
      <c r="C138" s="173"/>
    </row>
    <row r="139" spans="3:3" s="131" customFormat="1" ht="14" x14ac:dyDescent="0.2">
      <c r="C139" s="173"/>
    </row>
    <row r="140" spans="3:3" s="131" customFormat="1" ht="14" x14ac:dyDescent="0.2">
      <c r="C140" s="173"/>
    </row>
    <row r="141" spans="3:3" s="131" customFormat="1" ht="14" x14ac:dyDescent="0.2">
      <c r="C141" s="173"/>
    </row>
    <row r="142" spans="3:3" s="131" customFormat="1" ht="14" x14ac:dyDescent="0.2">
      <c r="C142" s="173"/>
    </row>
    <row r="143" spans="3:3" s="131" customFormat="1" ht="14" x14ac:dyDescent="0.2">
      <c r="C143" s="173"/>
    </row>
    <row r="144" spans="3:3" s="131" customFormat="1" ht="14" x14ac:dyDescent="0.2">
      <c r="C144" s="173"/>
    </row>
    <row r="145" spans="3:3" s="131" customFormat="1" ht="14" x14ac:dyDescent="0.2">
      <c r="C145" s="173"/>
    </row>
    <row r="146" spans="3:3" s="131" customFormat="1" ht="14" x14ac:dyDescent="0.2">
      <c r="C146" s="173"/>
    </row>
    <row r="147" spans="3:3" s="131" customFormat="1" ht="14" x14ac:dyDescent="0.2">
      <c r="C147" s="173"/>
    </row>
    <row r="148" spans="3:3" s="131" customFormat="1" ht="14" x14ac:dyDescent="0.2">
      <c r="C148" s="173"/>
    </row>
    <row r="149" spans="3:3" s="131" customFormat="1" ht="14" x14ac:dyDescent="0.2">
      <c r="C149" s="173"/>
    </row>
    <row r="150" spans="3:3" s="131" customFormat="1" ht="14" x14ac:dyDescent="0.2">
      <c r="C150" s="173"/>
    </row>
    <row r="151" spans="3:3" s="131" customFormat="1" ht="14" x14ac:dyDescent="0.2">
      <c r="C151" s="173"/>
    </row>
    <row r="152" spans="3:3" s="131" customFormat="1" ht="14" x14ac:dyDescent="0.2">
      <c r="C152" s="173"/>
    </row>
    <row r="153" spans="3:3" s="131" customFormat="1" ht="14" x14ac:dyDescent="0.2">
      <c r="C153" s="173"/>
    </row>
    <row r="154" spans="3:3" s="131" customFormat="1" ht="14" x14ac:dyDescent="0.2">
      <c r="C154" s="173"/>
    </row>
    <row r="155" spans="3:3" s="131" customFormat="1" ht="14" x14ac:dyDescent="0.2">
      <c r="C155" s="173"/>
    </row>
    <row r="156" spans="3:3" s="131" customFormat="1" ht="14" x14ac:dyDescent="0.2">
      <c r="C156" s="173"/>
    </row>
    <row r="157" spans="3:3" s="131" customFormat="1" ht="14" x14ac:dyDescent="0.2">
      <c r="C157" s="173"/>
    </row>
    <row r="158" spans="3:3" s="131" customFormat="1" ht="14" x14ac:dyDescent="0.2">
      <c r="C158" s="173"/>
    </row>
    <row r="159" spans="3:3" s="131" customFormat="1" ht="14" x14ac:dyDescent="0.2">
      <c r="C159" s="173"/>
    </row>
    <row r="160" spans="3:3" s="131" customFormat="1" ht="14" x14ac:dyDescent="0.2">
      <c r="C160" s="173"/>
    </row>
    <row r="161" spans="3:3" s="131" customFormat="1" ht="14" x14ac:dyDescent="0.2">
      <c r="C161" s="173"/>
    </row>
    <row r="162" spans="3:3" s="131" customFormat="1" ht="14" x14ac:dyDescent="0.2">
      <c r="C162" s="173"/>
    </row>
    <row r="163" spans="3:3" s="131" customFormat="1" ht="14" x14ac:dyDescent="0.2">
      <c r="C163" s="173"/>
    </row>
    <row r="164" spans="3:3" s="131" customFormat="1" ht="14" x14ac:dyDescent="0.2">
      <c r="C164" s="173"/>
    </row>
    <row r="165" spans="3:3" s="131" customFormat="1" ht="14" x14ac:dyDescent="0.2">
      <c r="C165" s="173"/>
    </row>
    <row r="166" spans="3:3" s="131" customFormat="1" ht="14" x14ac:dyDescent="0.2">
      <c r="C166" s="173"/>
    </row>
    <row r="167" spans="3:3" s="131" customFormat="1" ht="14" x14ac:dyDescent="0.2">
      <c r="C167" s="173"/>
    </row>
    <row r="168" spans="3:3" s="131" customFormat="1" ht="14" x14ac:dyDescent="0.2">
      <c r="C168" s="173"/>
    </row>
    <row r="169" spans="3:3" s="131" customFormat="1" ht="14" x14ac:dyDescent="0.2">
      <c r="C169" s="173"/>
    </row>
    <row r="170" spans="3:3" s="131" customFormat="1" ht="14" x14ac:dyDescent="0.2">
      <c r="C170" s="173"/>
    </row>
    <row r="171" spans="3:3" s="131" customFormat="1" ht="14" x14ac:dyDescent="0.2">
      <c r="C171" s="173"/>
    </row>
    <row r="172" spans="3:3" s="131" customFormat="1" ht="14" x14ac:dyDescent="0.2">
      <c r="C172" s="173"/>
    </row>
    <row r="173" spans="3:3" s="131" customFormat="1" ht="14" x14ac:dyDescent="0.2">
      <c r="C173" s="173"/>
    </row>
    <row r="174" spans="3:3" s="131" customFormat="1" ht="14" x14ac:dyDescent="0.2">
      <c r="C174" s="173"/>
    </row>
    <row r="175" spans="3:3" s="131" customFormat="1" ht="14" x14ac:dyDescent="0.2">
      <c r="C175" s="173"/>
    </row>
    <row r="176" spans="3:3" s="131" customFormat="1" ht="14" x14ac:dyDescent="0.2">
      <c r="C176" s="173"/>
    </row>
    <row r="177" spans="3:3" s="131" customFormat="1" ht="14" x14ac:dyDescent="0.2">
      <c r="C177" s="173"/>
    </row>
    <row r="178" spans="3:3" s="131" customFormat="1" ht="14" x14ac:dyDescent="0.2">
      <c r="C178" s="173"/>
    </row>
    <row r="179" spans="3:3" s="131" customFormat="1" ht="14" x14ac:dyDescent="0.2">
      <c r="C179" s="173"/>
    </row>
    <row r="180" spans="3:3" s="131" customFormat="1" ht="14" x14ac:dyDescent="0.2">
      <c r="C180" s="173"/>
    </row>
    <row r="181" spans="3:3" s="131" customFormat="1" ht="14" x14ac:dyDescent="0.2">
      <c r="C181" s="173"/>
    </row>
    <row r="182" spans="3:3" s="131" customFormat="1" ht="14" x14ac:dyDescent="0.2">
      <c r="C182" s="173"/>
    </row>
    <row r="183" spans="3:3" s="131" customFormat="1" ht="14" x14ac:dyDescent="0.2">
      <c r="C183" s="173"/>
    </row>
    <row r="184" spans="3:3" s="131" customFormat="1" ht="14" x14ac:dyDescent="0.2">
      <c r="C184" s="173"/>
    </row>
    <row r="185" spans="3:3" s="131" customFormat="1" ht="14" x14ac:dyDescent="0.2">
      <c r="C185" s="173"/>
    </row>
    <row r="186" spans="3:3" s="131" customFormat="1" ht="14" x14ac:dyDescent="0.2">
      <c r="C186" s="173"/>
    </row>
    <row r="187" spans="3:3" s="131" customFormat="1" ht="14" x14ac:dyDescent="0.2">
      <c r="C187" s="173"/>
    </row>
    <row r="188" spans="3:3" s="131" customFormat="1" ht="14" x14ac:dyDescent="0.2">
      <c r="C188" s="173"/>
    </row>
    <row r="189" spans="3:3" s="131" customFormat="1" ht="14" x14ac:dyDescent="0.2">
      <c r="C189" s="173"/>
    </row>
    <row r="190" spans="3:3" s="131" customFormat="1" ht="14" x14ac:dyDescent="0.2">
      <c r="C190" s="173"/>
    </row>
    <row r="191" spans="3:3" s="131" customFormat="1" ht="14" x14ac:dyDescent="0.2">
      <c r="C191" s="173"/>
    </row>
    <row r="192" spans="3:3" s="131" customFormat="1" ht="14" x14ac:dyDescent="0.2">
      <c r="C192" s="173"/>
    </row>
    <row r="193" spans="3:3" s="131" customFormat="1" ht="14" x14ac:dyDescent="0.2">
      <c r="C193" s="173"/>
    </row>
    <row r="194" spans="3:3" s="131" customFormat="1" ht="14" x14ac:dyDescent="0.2">
      <c r="C194" s="173"/>
    </row>
    <row r="195" spans="3:3" s="131" customFormat="1" ht="14" x14ac:dyDescent="0.2">
      <c r="C195" s="173"/>
    </row>
    <row r="196" spans="3:3" s="131" customFormat="1" ht="14" x14ac:dyDescent="0.2">
      <c r="C196" s="173"/>
    </row>
    <row r="197" spans="3:3" s="131" customFormat="1" ht="14" x14ac:dyDescent="0.2">
      <c r="C197" s="173"/>
    </row>
    <row r="198" spans="3:3" s="131" customFormat="1" ht="14" x14ac:dyDescent="0.2">
      <c r="C198" s="173"/>
    </row>
    <row r="199" spans="3:3" s="131" customFormat="1" ht="14" x14ac:dyDescent="0.2">
      <c r="C199" s="173"/>
    </row>
    <row r="200" spans="3:3" s="131" customFormat="1" ht="14" x14ac:dyDescent="0.2">
      <c r="C200" s="173"/>
    </row>
    <row r="201" spans="3:3" s="131" customFormat="1" ht="14" x14ac:dyDescent="0.2">
      <c r="C201" s="173"/>
    </row>
    <row r="202" spans="3:3" s="131" customFormat="1" ht="14" x14ac:dyDescent="0.2">
      <c r="C202" s="173"/>
    </row>
    <row r="203" spans="3:3" s="131" customFormat="1" ht="14" x14ac:dyDescent="0.2">
      <c r="C203" s="173"/>
    </row>
    <row r="204" spans="3:3" s="131" customFormat="1" ht="14" x14ac:dyDescent="0.2">
      <c r="C204" s="173"/>
    </row>
    <row r="205" spans="3:3" s="131" customFormat="1" ht="14" x14ac:dyDescent="0.2">
      <c r="C205" s="173"/>
    </row>
    <row r="206" spans="3:3" s="131" customFormat="1" ht="14" x14ac:dyDescent="0.2">
      <c r="C206" s="173"/>
    </row>
    <row r="207" spans="3:3" s="131" customFormat="1" ht="14" x14ac:dyDescent="0.2">
      <c r="C207" s="173"/>
    </row>
    <row r="208" spans="3:3" s="131" customFormat="1" ht="14" x14ac:dyDescent="0.2">
      <c r="C208" s="173"/>
    </row>
    <row r="209" spans="3:3" s="131" customFormat="1" ht="14" x14ac:dyDescent="0.2">
      <c r="C209" s="173"/>
    </row>
    <row r="210" spans="3:3" s="131" customFormat="1" ht="14" x14ac:dyDescent="0.2">
      <c r="C210" s="173"/>
    </row>
    <row r="211" spans="3:3" s="131" customFormat="1" ht="14" x14ac:dyDescent="0.2">
      <c r="C211" s="173"/>
    </row>
    <row r="212" spans="3:3" s="131" customFormat="1" ht="14" x14ac:dyDescent="0.2">
      <c r="C212" s="173"/>
    </row>
    <row r="213" spans="3:3" s="131" customFormat="1" ht="14" x14ac:dyDescent="0.2">
      <c r="C213" s="173"/>
    </row>
    <row r="214" spans="3:3" s="131" customFormat="1" ht="14" x14ac:dyDescent="0.2">
      <c r="C214" s="173"/>
    </row>
    <row r="215" spans="3:3" s="131" customFormat="1" ht="14" x14ac:dyDescent="0.2">
      <c r="C215" s="173"/>
    </row>
    <row r="216" spans="3:3" s="131" customFormat="1" ht="14" x14ac:dyDescent="0.2">
      <c r="C216" s="173"/>
    </row>
    <row r="217" spans="3:3" s="131" customFormat="1" ht="14" x14ac:dyDescent="0.2">
      <c r="C217" s="173"/>
    </row>
    <row r="218" spans="3:3" s="131" customFormat="1" ht="14" x14ac:dyDescent="0.2">
      <c r="C218" s="173"/>
    </row>
    <row r="219" spans="3:3" s="131" customFormat="1" ht="14" x14ac:dyDescent="0.2">
      <c r="C219" s="173"/>
    </row>
    <row r="220" spans="3:3" s="131" customFormat="1" ht="14" x14ac:dyDescent="0.2">
      <c r="C220" s="173"/>
    </row>
    <row r="221" spans="3:3" s="131" customFormat="1" ht="14" x14ac:dyDescent="0.2">
      <c r="C221" s="173"/>
    </row>
    <row r="222" spans="3:3" s="131" customFormat="1" ht="14" x14ac:dyDescent="0.2">
      <c r="C222" s="173"/>
    </row>
    <row r="223" spans="3:3" s="131" customFormat="1" ht="14" x14ac:dyDescent="0.2">
      <c r="C223" s="173"/>
    </row>
    <row r="224" spans="3:3" s="131" customFormat="1" ht="14" x14ac:dyDescent="0.2">
      <c r="C224" s="173"/>
    </row>
    <row r="225" spans="3:3" s="131" customFormat="1" ht="14" x14ac:dyDescent="0.2">
      <c r="C225" s="173"/>
    </row>
    <row r="226" spans="3:3" s="131" customFormat="1" ht="14" x14ac:dyDescent="0.2">
      <c r="C226" s="173"/>
    </row>
    <row r="227" spans="3:3" s="131" customFormat="1" ht="14" x14ac:dyDescent="0.2">
      <c r="C227" s="173"/>
    </row>
    <row r="228" spans="3:3" s="131" customFormat="1" ht="14" x14ac:dyDescent="0.2">
      <c r="C228" s="173"/>
    </row>
    <row r="229" spans="3:3" s="131" customFormat="1" ht="14" x14ac:dyDescent="0.2">
      <c r="C229" s="173"/>
    </row>
    <row r="230" spans="3:3" s="131" customFormat="1" ht="14" x14ac:dyDescent="0.2">
      <c r="C230" s="173"/>
    </row>
    <row r="231" spans="3:3" s="131" customFormat="1" ht="14" x14ac:dyDescent="0.2">
      <c r="C231" s="173"/>
    </row>
    <row r="232" spans="3:3" s="131" customFormat="1" ht="14" x14ac:dyDescent="0.2">
      <c r="C232" s="173"/>
    </row>
    <row r="233" spans="3:3" s="131" customFormat="1" ht="14" x14ac:dyDescent="0.2">
      <c r="C233" s="173"/>
    </row>
    <row r="234" spans="3:3" s="131" customFormat="1" ht="14" x14ac:dyDescent="0.2">
      <c r="C234" s="173"/>
    </row>
    <row r="235" spans="3:3" s="131" customFormat="1" ht="14" x14ac:dyDescent="0.2">
      <c r="C235" s="173"/>
    </row>
    <row r="236" spans="3:3" s="131" customFormat="1" ht="14" x14ac:dyDescent="0.2">
      <c r="C236" s="173"/>
    </row>
    <row r="237" spans="3:3" s="131" customFormat="1" ht="14" x14ac:dyDescent="0.2">
      <c r="C237" s="173"/>
    </row>
    <row r="238" spans="3:3" s="131" customFormat="1" ht="14" x14ac:dyDescent="0.2">
      <c r="C238" s="173"/>
    </row>
    <row r="239" spans="3:3" s="131" customFormat="1" ht="14" x14ac:dyDescent="0.2">
      <c r="C239" s="173"/>
    </row>
    <row r="240" spans="3:3" s="131" customFormat="1" ht="14" x14ac:dyDescent="0.2">
      <c r="C240" s="173"/>
    </row>
    <row r="241" spans="3:3" s="131" customFormat="1" ht="14" x14ac:dyDescent="0.2">
      <c r="C241" s="173"/>
    </row>
    <row r="242" spans="3:3" s="131" customFormat="1" ht="14" x14ac:dyDescent="0.2">
      <c r="C242" s="173"/>
    </row>
    <row r="243" spans="3:3" s="131" customFormat="1" ht="14" x14ac:dyDescent="0.2">
      <c r="C243" s="173"/>
    </row>
    <row r="244" spans="3:3" s="131" customFormat="1" ht="14" x14ac:dyDescent="0.2">
      <c r="C244" s="173"/>
    </row>
    <row r="245" spans="3:3" s="131" customFormat="1" ht="14" x14ac:dyDescent="0.2">
      <c r="C245" s="173"/>
    </row>
    <row r="246" spans="3:3" s="131" customFormat="1" ht="14" x14ac:dyDescent="0.2">
      <c r="C246" s="173"/>
    </row>
    <row r="247" spans="3:3" s="131" customFormat="1" ht="14" x14ac:dyDescent="0.2">
      <c r="C247" s="173"/>
    </row>
    <row r="248" spans="3:3" s="131" customFormat="1" ht="14" x14ac:dyDescent="0.2">
      <c r="C248" s="173"/>
    </row>
    <row r="249" spans="3:3" s="131" customFormat="1" ht="14" x14ac:dyDescent="0.2">
      <c r="C249" s="173"/>
    </row>
    <row r="250" spans="3:3" s="131" customFormat="1" ht="14" x14ac:dyDescent="0.2">
      <c r="C250" s="173"/>
    </row>
    <row r="251" spans="3:3" s="131" customFormat="1" ht="14" x14ac:dyDescent="0.2">
      <c r="C251" s="173"/>
    </row>
    <row r="252" spans="3:3" s="131" customFormat="1" ht="14" x14ac:dyDescent="0.2">
      <c r="C252" s="173"/>
    </row>
    <row r="253" spans="3:3" s="131" customFormat="1" ht="14" x14ac:dyDescent="0.2">
      <c r="C253" s="173"/>
    </row>
    <row r="254" spans="3:3" s="131" customFormat="1" ht="14" x14ac:dyDescent="0.2">
      <c r="C254" s="173"/>
    </row>
    <row r="255" spans="3:3" s="131" customFormat="1" ht="14" x14ac:dyDescent="0.2">
      <c r="C255" s="173"/>
    </row>
    <row r="256" spans="3:3" s="131" customFormat="1" ht="14" x14ac:dyDescent="0.2">
      <c r="C256" s="173"/>
    </row>
    <row r="257" spans="3:3" s="131" customFormat="1" ht="14" x14ac:dyDescent="0.2">
      <c r="C257" s="173"/>
    </row>
    <row r="258" spans="3:3" s="131" customFormat="1" ht="14" x14ac:dyDescent="0.2">
      <c r="C258" s="173"/>
    </row>
    <row r="259" spans="3:3" s="131" customFormat="1" ht="14" x14ac:dyDescent="0.2">
      <c r="C259" s="173"/>
    </row>
    <row r="260" spans="3:3" s="131" customFormat="1" ht="14" x14ac:dyDescent="0.2">
      <c r="C260" s="173"/>
    </row>
    <row r="261" spans="3:3" s="131" customFormat="1" ht="14" x14ac:dyDescent="0.2">
      <c r="C261" s="173"/>
    </row>
    <row r="262" spans="3:3" s="131" customFormat="1" ht="14" x14ac:dyDescent="0.2">
      <c r="C262" s="173"/>
    </row>
    <row r="263" spans="3:3" s="131" customFormat="1" ht="14" x14ac:dyDescent="0.2">
      <c r="C263" s="173"/>
    </row>
    <row r="264" spans="3:3" s="131" customFormat="1" ht="14" x14ac:dyDescent="0.2">
      <c r="C264" s="173"/>
    </row>
    <row r="265" spans="3:3" s="131" customFormat="1" ht="14" x14ac:dyDescent="0.2">
      <c r="C265" s="173"/>
    </row>
    <row r="266" spans="3:3" s="131" customFormat="1" ht="14" x14ac:dyDescent="0.2">
      <c r="C266" s="173"/>
    </row>
    <row r="267" spans="3:3" s="131" customFormat="1" ht="14" x14ac:dyDescent="0.2">
      <c r="C267" s="173"/>
    </row>
    <row r="268" spans="3:3" s="131" customFormat="1" ht="14" x14ac:dyDescent="0.2">
      <c r="C268" s="173"/>
    </row>
    <row r="269" spans="3:3" s="131" customFormat="1" ht="14" x14ac:dyDescent="0.2">
      <c r="C269" s="173"/>
    </row>
    <row r="270" spans="3:3" s="131" customFormat="1" ht="14" x14ac:dyDescent="0.2">
      <c r="C270" s="173"/>
    </row>
    <row r="271" spans="3:3" s="131" customFormat="1" ht="14" x14ac:dyDescent="0.2">
      <c r="C271" s="173"/>
    </row>
    <row r="272" spans="3:3" s="131" customFormat="1" ht="14" x14ac:dyDescent="0.2">
      <c r="C272" s="173"/>
    </row>
    <row r="273" spans="3:3" s="131" customFormat="1" ht="14" x14ac:dyDescent="0.2">
      <c r="C273" s="173"/>
    </row>
    <row r="274" spans="3:3" s="131" customFormat="1" ht="14" x14ac:dyDescent="0.2">
      <c r="C274" s="173"/>
    </row>
    <row r="275" spans="3:3" s="131" customFormat="1" ht="14" x14ac:dyDescent="0.2">
      <c r="C275" s="173"/>
    </row>
    <row r="276" spans="3:3" s="131" customFormat="1" ht="14" x14ac:dyDescent="0.2">
      <c r="C276" s="173"/>
    </row>
    <row r="277" spans="3:3" s="131" customFormat="1" ht="14" x14ac:dyDescent="0.2">
      <c r="C277" s="173"/>
    </row>
    <row r="278" spans="3:3" s="131" customFormat="1" ht="14" x14ac:dyDescent="0.2">
      <c r="C278" s="173"/>
    </row>
    <row r="279" spans="3:3" s="131" customFormat="1" ht="14" x14ac:dyDescent="0.2">
      <c r="C279" s="173"/>
    </row>
    <row r="280" spans="3:3" s="131" customFormat="1" ht="14" x14ac:dyDescent="0.2">
      <c r="C280" s="173"/>
    </row>
    <row r="281" spans="3:3" s="131" customFormat="1" ht="14" x14ac:dyDescent="0.2">
      <c r="C281" s="173"/>
    </row>
    <row r="282" spans="3:3" s="131" customFormat="1" ht="14" x14ac:dyDescent="0.2">
      <c r="C282" s="173"/>
    </row>
    <row r="283" spans="3:3" s="131" customFormat="1" ht="14" x14ac:dyDescent="0.2">
      <c r="C283" s="173"/>
    </row>
    <row r="284" spans="3:3" s="131" customFormat="1" ht="14" x14ac:dyDescent="0.2">
      <c r="C284" s="173"/>
    </row>
    <row r="285" spans="3:3" s="131" customFormat="1" ht="14" x14ac:dyDescent="0.2">
      <c r="C285" s="173"/>
    </row>
    <row r="286" spans="3:3" s="131" customFormat="1" ht="14" x14ac:dyDescent="0.2">
      <c r="C286" s="173"/>
    </row>
    <row r="287" spans="3:3" s="131" customFormat="1" ht="14" x14ac:dyDescent="0.2">
      <c r="C287" s="173"/>
    </row>
    <row r="288" spans="3:3" s="131" customFormat="1" ht="14" x14ac:dyDescent="0.2">
      <c r="C288" s="173"/>
    </row>
    <row r="289" spans="3:3" s="131" customFormat="1" ht="14" x14ac:dyDescent="0.2">
      <c r="C289" s="173"/>
    </row>
    <row r="290" spans="3:3" s="131" customFormat="1" ht="14" x14ac:dyDescent="0.2">
      <c r="C290" s="173"/>
    </row>
    <row r="291" spans="3:3" s="131" customFormat="1" ht="14" x14ac:dyDescent="0.2">
      <c r="C291" s="173"/>
    </row>
    <row r="292" spans="3:3" s="131" customFormat="1" ht="14" x14ac:dyDescent="0.2">
      <c r="C292" s="173"/>
    </row>
    <row r="293" spans="3:3" s="131" customFormat="1" ht="14" x14ac:dyDescent="0.2">
      <c r="C293" s="173"/>
    </row>
    <row r="294" spans="3:3" s="131" customFormat="1" ht="14" x14ac:dyDescent="0.2">
      <c r="C294" s="173"/>
    </row>
    <row r="295" spans="3:3" s="131" customFormat="1" ht="14" x14ac:dyDescent="0.2">
      <c r="C295" s="173"/>
    </row>
    <row r="296" spans="3:3" s="131" customFormat="1" ht="14" x14ac:dyDescent="0.2">
      <c r="C296" s="173"/>
    </row>
    <row r="297" spans="3:3" s="131" customFormat="1" ht="14" x14ac:dyDescent="0.2">
      <c r="C297" s="173"/>
    </row>
    <row r="298" spans="3:3" s="131" customFormat="1" ht="14" x14ac:dyDescent="0.2">
      <c r="C298" s="173"/>
    </row>
    <row r="299" spans="3:3" s="131" customFormat="1" ht="14" x14ac:dyDescent="0.2">
      <c r="C299" s="173"/>
    </row>
    <row r="300" spans="3:3" s="131" customFormat="1" ht="14" x14ac:dyDescent="0.2">
      <c r="C300" s="173"/>
    </row>
    <row r="301" spans="3:3" s="131" customFormat="1" ht="14" x14ac:dyDescent="0.2">
      <c r="C301" s="173"/>
    </row>
    <row r="302" spans="3:3" s="131" customFormat="1" ht="14" x14ac:dyDescent="0.2">
      <c r="C302" s="173"/>
    </row>
    <row r="303" spans="3:3" s="131" customFormat="1" ht="14" x14ac:dyDescent="0.2">
      <c r="C303" s="173"/>
    </row>
    <row r="304" spans="3:3" s="131" customFormat="1" ht="14" x14ac:dyDescent="0.2">
      <c r="C304" s="173"/>
    </row>
    <row r="305" spans="3:3" s="131" customFormat="1" ht="14" x14ac:dyDescent="0.2">
      <c r="C305" s="173"/>
    </row>
    <row r="306" spans="3:3" s="131" customFormat="1" ht="14" x14ac:dyDescent="0.2">
      <c r="C306" s="173"/>
    </row>
    <row r="307" spans="3:3" s="131" customFormat="1" ht="14" x14ac:dyDescent="0.2">
      <c r="C307" s="173"/>
    </row>
  </sheetData>
  <mergeCells count="1">
    <mergeCell ref="A1:D1"/>
  </mergeCells>
  <phoneticPr fontId="1"/>
  <pageMargins left="0" right="0" top="0.35433070866141736" bottom="0" header="0.31496062992125984" footer="0.31496062992125984"/>
  <pageSetup paperSize="9" scale="98" orientation="portrait" r:id="rId1"/>
  <headerFooter>
    <oddHeader>&amp;R&amp;P/&amp;N</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64"/>
  <sheetViews>
    <sheetView showGridLines="0" view="pageBreakPreview" zoomScale="130" zoomScaleNormal="100" zoomScaleSheetLayoutView="130" zoomScalePageLayoutView="95" workbookViewId="0">
      <selection activeCell="H27" sqref="H27"/>
    </sheetView>
  </sheetViews>
  <sheetFormatPr defaultRowHeight="13" x14ac:dyDescent="0.2"/>
  <cols>
    <col min="1" max="1" width="8.81640625" customWidth="1"/>
    <col min="5" max="5" width="8.1796875" customWidth="1"/>
    <col min="7" max="7" width="7.7265625" customWidth="1"/>
    <col min="8" max="9" width="9.36328125" bestFit="1" customWidth="1"/>
    <col min="10" max="10" width="10.26953125" bestFit="1" customWidth="1"/>
    <col min="11" max="11" width="0.81640625" customWidth="1"/>
    <col min="12" max="12" width="9" bestFit="1" customWidth="1"/>
    <col min="13" max="13" width="10.1796875" bestFit="1" customWidth="1"/>
  </cols>
  <sheetData>
    <row r="1" spans="1:10" ht="19" customHeight="1" x14ac:dyDescent="0.2">
      <c r="A1" s="208" t="s">
        <v>197</v>
      </c>
      <c r="B1" s="208"/>
      <c r="C1" s="208"/>
      <c r="D1" s="208"/>
      <c r="E1" s="208"/>
      <c r="F1" s="208"/>
      <c r="G1" s="208"/>
      <c r="H1" s="208"/>
      <c r="I1" s="208"/>
      <c r="J1" s="208"/>
    </row>
    <row r="2" spans="1:10" ht="15" x14ac:dyDescent="0.2">
      <c r="A2" s="79" t="s">
        <v>163</v>
      </c>
      <c r="B2" s="80"/>
      <c r="C2" s="80"/>
      <c r="D2" s="80"/>
      <c r="E2" s="80"/>
      <c r="F2" s="80"/>
      <c r="G2" s="80"/>
      <c r="H2" s="80"/>
      <c r="I2" s="80"/>
      <c r="J2" s="80"/>
    </row>
    <row r="3" spans="1:10" ht="7" customHeight="1" x14ac:dyDescent="0.2">
      <c r="A3" s="80"/>
      <c r="B3" s="80"/>
      <c r="C3" s="80"/>
      <c r="D3" s="80"/>
      <c r="E3" s="80"/>
      <c r="F3" s="80"/>
      <c r="G3" s="80"/>
      <c r="H3" s="80"/>
      <c r="I3" s="80"/>
      <c r="J3" s="80"/>
    </row>
    <row r="4" spans="1:10" ht="15" x14ac:dyDescent="0.2">
      <c r="A4" s="81" t="s">
        <v>164</v>
      </c>
      <c r="B4" s="82"/>
      <c r="C4" s="82"/>
      <c r="D4" s="82"/>
      <c r="E4" s="82"/>
      <c r="F4" s="80"/>
      <c r="G4" s="80"/>
      <c r="H4" s="213">
        <v>45833</v>
      </c>
      <c r="I4" s="213"/>
      <c r="J4" s="213"/>
    </row>
    <row r="5" spans="1:10" ht="15" x14ac:dyDescent="0.2">
      <c r="A5" s="83" t="s">
        <v>146</v>
      </c>
      <c r="B5" s="80"/>
      <c r="C5" s="80"/>
      <c r="D5" s="80"/>
      <c r="E5" s="80"/>
      <c r="F5" s="80"/>
      <c r="G5" s="80"/>
      <c r="H5" s="206"/>
      <c r="I5" s="206"/>
      <c r="J5" s="206"/>
    </row>
    <row r="6" spans="1:10" ht="15" x14ac:dyDescent="0.2">
      <c r="A6" s="85"/>
      <c r="B6" s="80"/>
      <c r="C6" s="80"/>
      <c r="D6" s="80"/>
      <c r="E6" s="80"/>
      <c r="F6" s="80"/>
      <c r="G6" s="80"/>
      <c r="H6" s="80"/>
      <c r="I6" s="86"/>
      <c r="J6" s="87" t="s">
        <v>147</v>
      </c>
    </row>
    <row r="7" spans="1:10" ht="15" x14ac:dyDescent="0.2">
      <c r="A7" s="85" t="s">
        <v>148</v>
      </c>
      <c r="B7" s="80"/>
      <c r="C7" s="80"/>
      <c r="D7" s="80"/>
      <c r="E7" s="80"/>
      <c r="F7" s="80"/>
      <c r="G7" s="80"/>
      <c r="H7" s="80"/>
      <c r="I7" s="84"/>
      <c r="J7" s="88" t="s">
        <v>149</v>
      </c>
    </row>
    <row r="8" spans="1:10" ht="15" x14ac:dyDescent="0.2">
      <c r="A8" s="89" t="s">
        <v>165</v>
      </c>
      <c r="B8" s="80"/>
      <c r="C8" s="80"/>
      <c r="D8" s="80"/>
      <c r="E8" s="80"/>
      <c r="F8" s="80"/>
      <c r="G8" s="80"/>
      <c r="H8" s="80"/>
      <c r="I8" s="84"/>
      <c r="J8" s="87" t="s">
        <v>375</v>
      </c>
    </row>
    <row r="9" spans="1:10" ht="15" x14ac:dyDescent="0.2">
      <c r="A9" s="80"/>
      <c r="B9" s="80"/>
      <c r="C9" s="80"/>
      <c r="D9" s="80"/>
      <c r="E9" s="80"/>
      <c r="F9" s="80"/>
      <c r="G9" s="80"/>
      <c r="H9" s="80"/>
      <c r="I9" s="84"/>
      <c r="J9" s="88" t="s">
        <v>150</v>
      </c>
    </row>
    <row r="10" spans="1:10" ht="15" x14ac:dyDescent="0.2">
      <c r="A10" s="85" t="s">
        <v>151</v>
      </c>
      <c r="B10" s="80"/>
      <c r="C10" s="80"/>
      <c r="D10" s="80"/>
      <c r="E10" s="80"/>
      <c r="F10" s="80"/>
      <c r="G10" s="80"/>
      <c r="H10" s="80"/>
      <c r="I10" s="84"/>
      <c r="J10" s="88"/>
    </row>
    <row r="11" spans="1:10" ht="15" x14ac:dyDescent="0.2">
      <c r="A11" s="209">
        <f>I36</f>
        <v>2865654</v>
      </c>
      <c r="B11" s="209"/>
      <c r="C11" s="80"/>
      <c r="D11" s="80"/>
      <c r="E11" s="80"/>
      <c r="F11" s="80"/>
      <c r="G11" s="80"/>
      <c r="H11" s="80"/>
      <c r="I11" s="84"/>
      <c r="J11" s="87"/>
    </row>
    <row r="12" spans="1:10" ht="15" x14ac:dyDescent="0.2">
      <c r="A12" s="90"/>
      <c r="B12" s="90"/>
      <c r="C12" s="91"/>
      <c r="D12" s="91"/>
      <c r="E12" s="80"/>
      <c r="F12" s="80"/>
      <c r="G12" s="80"/>
      <c r="H12" s="80"/>
      <c r="I12" s="84"/>
      <c r="J12" s="87"/>
    </row>
    <row r="13" spans="1:10" ht="15" x14ac:dyDescent="0.2">
      <c r="A13" s="92" t="s">
        <v>152</v>
      </c>
      <c r="B13" s="90"/>
      <c r="C13" s="90"/>
      <c r="D13" s="90"/>
      <c r="E13" s="80"/>
      <c r="F13" s="80"/>
      <c r="G13" s="80"/>
      <c r="H13" s="80"/>
      <c r="I13" s="84"/>
      <c r="J13" s="87"/>
    </row>
    <row r="14" spans="1:10" ht="15" x14ac:dyDescent="0.2">
      <c r="A14" s="90" t="s">
        <v>173</v>
      </c>
      <c r="B14" s="90"/>
      <c r="C14" s="90"/>
      <c r="D14" s="90"/>
      <c r="E14" s="80"/>
      <c r="F14" s="80"/>
      <c r="G14" s="80"/>
      <c r="H14" s="80"/>
      <c r="I14" s="84"/>
      <c r="J14" s="87"/>
    </row>
    <row r="15" spans="1:10" ht="15" x14ac:dyDescent="0.2">
      <c r="A15" s="80"/>
      <c r="B15" s="80"/>
      <c r="C15" s="80"/>
      <c r="D15" s="80"/>
      <c r="E15" s="80"/>
      <c r="F15" s="80"/>
      <c r="G15" s="80"/>
      <c r="H15" s="80"/>
      <c r="I15" s="84"/>
      <c r="J15" s="87"/>
    </row>
    <row r="16" spans="1:10" x14ac:dyDescent="0.2">
      <c r="A16" s="210" t="s">
        <v>373</v>
      </c>
      <c r="B16" s="210"/>
      <c r="C16" s="210"/>
      <c r="D16" s="210"/>
      <c r="E16" s="210"/>
      <c r="F16" s="211" t="s">
        <v>371</v>
      </c>
      <c r="G16" s="211"/>
      <c r="H16" s="211"/>
      <c r="I16" s="211"/>
      <c r="J16" s="211"/>
    </row>
    <row r="17" spans="1:13" x14ac:dyDescent="0.2">
      <c r="A17" s="212" t="s">
        <v>172</v>
      </c>
      <c r="B17" s="212"/>
      <c r="C17" s="212"/>
      <c r="D17" s="212"/>
      <c r="E17" s="212"/>
      <c r="F17" s="93"/>
      <c r="G17" s="93"/>
      <c r="H17" s="93"/>
      <c r="I17" s="94"/>
      <c r="J17" s="94"/>
    </row>
    <row r="18" spans="1:13" x14ac:dyDescent="0.2">
      <c r="A18" s="83"/>
      <c r="B18" s="83"/>
      <c r="C18" s="83"/>
      <c r="D18" s="83"/>
      <c r="E18" s="83"/>
      <c r="F18" s="83"/>
      <c r="G18" s="83"/>
      <c r="H18" s="83"/>
      <c r="I18" s="87"/>
      <c r="J18" s="87"/>
    </row>
    <row r="19" spans="1:13" x14ac:dyDescent="0.2">
      <c r="A19" s="214" t="s">
        <v>153</v>
      </c>
      <c r="B19" s="215"/>
      <c r="C19" s="215"/>
      <c r="D19" s="215"/>
      <c r="E19" s="215"/>
      <c r="F19" s="95" t="s">
        <v>19</v>
      </c>
      <c r="G19" s="95" t="s">
        <v>154</v>
      </c>
      <c r="H19" s="95" t="s">
        <v>23</v>
      </c>
      <c r="I19" s="95" t="s">
        <v>63</v>
      </c>
      <c r="J19" s="96" t="s">
        <v>155</v>
      </c>
    </row>
    <row r="20" spans="1:13" x14ac:dyDescent="0.2">
      <c r="A20" s="202" t="s">
        <v>346</v>
      </c>
      <c r="B20" s="203"/>
      <c r="C20" s="203"/>
      <c r="D20" s="203"/>
      <c r="E20" s="203"/>
      <c r="F20" s="97">
        <v>1</v>
      </c>
      <c r="G20" s="97" t="s">
        <v>156</v>
      </c>
      <c r="H20" s="113">
        <v>550000</v>
      </c>
      <c r="I20" s="126">
        <f>H20*F20</f>
        <v>550000</v>
      </c>
      <c r="J20" s="112" t="s">
        <v>198</v>
      </c>
    </row>
    <row r="21" spans="1:13" x14ac:dyDescent="0.2">
      <c r="A21" s="202" t="s">
        <v>345</v>
      </c>
      <c r="B21" s="203"/>
      <c r="C21" s="203"/>
      <c r="D21" s="203"/>
      <c r="E21" s="203"/>
      <c r="F21" s="97">
        <v>1</v>
      </c>
      <c r="G21" s="97" t="s">
        <v>168</v>
      </c>
      <c r="H21" s="113">
        <v>1079999.9999999998</v>
      </c>
      <c r="I21" s="126">
        <f t="shared" ref="I21:I32" si="0">H21*F21</f>
        <v>1079999.9999999998</v>
      </c>
      <c r="J21" s="112" t="s">
        <v>198</v>
      </c>
    </row>
    <row r="22" spans="1:13" x14ac:dyDescent="0.2">
      <c r="A22" s="202" t="s">
        <v>344</v>
      </c>
      <c r="B22" s="203"/>
      <c r="C22" s="203"/>
      <c r="D22" s="203"/>
      <c r="E22" s="203"/>
      <c r="F22" s="97">
        <v>5</v>
      </c>
      <c r="G22" s="97" t="s">
        <v>157</v>
      </c>
      <c r="H22" s="113">
        <v>8000</v>
      </c>
      <c r="I22" s="126">
        <f t="shared" si="0"/>
        <v>40000</v>
      </c>
      <c r="J22" s="112"/>
    </row>
    <row r="23" spans="1:13" x14ac:dyDescent="0.2">
      <c r="A23" s="204" t="s">
        <v>368</v>
      </c>
      <c r="B23" s="205"/>
      <c r="C23" s="205"/>
      <c r="D23" s="205"/>
      <c r="E23" s="205"/>
      <c r="F23" s="97">
        <v>1</v>
      </c>
      <c r="G23" s="97" t="s">
        <v>168</v>
      </c>
      <c r="H23" s="113">
        <v>0</v>
      </c>
      <c r="I23" s="126">
        <f t="shared" ref="I23" si="1">H23*F23</f>
        <v>0</v>
      </c>
      <c r="J23" s="112"/>
    </row>
    <row r="24" spans="1:13" x14ac:dyDescent="0.2">
      <c r="A24" s="204" t="s">
        <v>347</v>
      </c>
      <c r="B24" s="205"/>
      <c r="C24" s="205"/>
      <c r="D24" s="205"/>
      <c r="E24" s="205"/>
      <c r="F24" s="97">
        <v>1</v>
      </c>
      <c r="G24" s="97" t="s">
        <v>168</v>
      </c>
      <c r="H24" s="113">
        <v>550000</v>
      </c>
      <c r="I24" s="126">
        <f t="shared" si="0"/>
        <v>550000</v>
      </c>
      <c r="J24" s="112"/>
      <c r="M24" s="111"/>
    </row>
    <row r="25" spans="1:13" x14ac:dyDescent="0.2">
      <c r="A25" s="204" t="s">
        <v>358</v>
      </c>
      <c r="B25" s="205"/>
      <c r="C25" s="205"/>
      <c r="D25" s="205"/>
      <c r="E25" s="205"/>
      <c r="F25" s="97">
        <v>1</v>
      </c>
      <c r="G25" s="97" t="s">
        <v>196</v>
      </c>
      <c r="H25" s="113">
        <v>29800</v>
      </c>
      <c r="I25" s="99">
        <f t="shared" si="0"/>
        <v>29800</v>
      </c>
      <c r="J25" s="112"/>
      <c r="M25" s="111"/>
    </row>
    <row r="26" spans="1:13" x14ac:dyDescent="0.2">
      <c r="A26" s="204" t="s">
        <v>359</v>
      </c>
      <c r="B26" s="205"/>
      <c r="C26" s="205"/>
      <c r="D26" s="205"/>
      <c r="E26" s="205"/>
      <c r="F26" s="97">
        <v>1</v>
      </c>
      <c r="G26" s="97" t="s">
        <v>196</v>
      </c>
      <c r="H26" s="113">
        <v>13800</v>
      </c>
      <c r="I26" s="99">
        <f t="shared" si="0"/>
        <v>13800</v>
      </c>
      <c r="J26" s="112" t="s">
        <v>200</v>
      </c>
    </row>
    <row r="27" spans="1:13" x14ac:dyDescent="0.2">
      <c r="A27" s="204" t="s">
        <v>360</v>
      </c>
      <c r="B27" s="205"/>
      <c r="C27" s="205"/>
      <c r="D27" s="205"/>
      <c r="E27" s="205"/>
      <c r="F27" s="97">
        <v>1</v>
      </c>
      <c r="G27" s="97" t="s">
        <v>196</v>
      </c>
      <c r="H27" s="113">
        <v>15800</v>
      </c>
      <c r="I27" s="99">
        <f t="shared" si="0"/>
        <v>15800</v>
      </c>
      <c r="J27" s="112"/>
    </row>
    <row r="28" spans="1:13" x14ac:dyDescent="0.2">
      <c r="A28" s="204" t="s">
        <v>361</v>
      </c>
      <c r="B28" s="205"/>
      <c r="C28" s="205"/>
      <c r="D28" s="205"/>
      <c r="E28" s="205"/>
      <c r="F28" s="97">
        <v>1</v>
      </c>
      <c r="G28" s="97" t="s">
        <v>196</v>
      </c>
      <c r="H28" s="113">
        <v>9800</v>
      </c>
      <c r="I28" s="99">
        <f t="shared" si="0"/>
        <v>9800</v>
      </c>
      <c r="J28" s="112"/>
    </row>
    <row r="29" spans="1:13" x14ac:dyDescent="0.2">
      <c r="A29" s="204" t="s">
        <v>362</v>
      </c>
      <c r="B29" s="205"/>
      <c r="C29" s="205"/>
      <c r="D29" s="205"/>
      <c r="E29" s="205"/>
      <c r="F29" s="97">
        <v>1</v>
      </c>
      <c r="G29" s="97" t="s">
        <v>196</v>
      </c>
      <c r="H29" s="113">
        <v>39800</v>
      </c>
      <c r="I29" s="99">
        <f t="shared" si="0"/>
        <v>39800</v>
      </c>
      <c r="J29" s="112"/>
    </row>
    <row r="30" spans="1:13" x14ac:dyDescent="0.2">
      <c r="A30" s="204" t="s">
        <v>364</v>
      </c>
      <c r="B30" s="205"/>
      <c r="C30" s="205"/>
      <c r="D30" s="205"/>
      <c r="E30" s="205"/>
      <c r="F30" s="97">
        <v>7</v>
      </c>
      <c r="G30" s="97" t="s">
        <v>196</v>
      </c>
      <c r="H30" s="113">
        <v>24800</v>
      </c>
      <c r="I30" s="99">
        <f t="shared" si="0"/>
        <v>173600</v>
      </c>
      <c r="J30" s="112"/>
      <c r="L30" s="111"/>
    </row>
    <row r="31" spans="1:13" x14ac:dyDescent="0.2">
      <c r="A31" s="204" t="s">
        <v>366</v>
      </c>
      <c r="B31" s="205"/>
      <c r="C31" s="205"/>
      <c r="D31" s="205"/>
      <c r="E31" s="205"/>
      <c r="F31" s="97">
        <v>6</v>
      </c>
      <c r="G31" s="97" t="s">
        <v>196</v>
      </c>
      <c r="H31" s="113">
        <v>13760</v>
      </c>
      <c r="I31" s="99">
        <f t="shared" si="0"/>
        <v>82560</v>
      </c>
      <c r="J31" s="112"/>
    </row>
    <row r="32" spans="1:13" x14ac:dyDescent="0.2">
      <c r="A32" s="204" t="s">
        <v>367</v>
      </c>
      <c r="B32" s="205"/>
      <c r="C32" s="205"/>
      <c r="D32" s="205"/>
      <c r="E32" s="205"/>
      <c r="F32" s="97">
        <v>6</v>
      </c>
      <c r="G32" s="97" t="s">
        <v>196</v>
      </c>
      <c r="H32" s="113">
        <v>3329.9999999999995</v>
      </c>
      <c r="I32" s="99">
        <f t="shared" si="0"/>
        <v>19979.999999999996</v>
      </c>
      <c r="J32" s="112"/>
    </row>
    <row r="33" spans="1:10" x14ac:dyDescent="0.2">
      <c r="A33" s="202"/>
      <c r="B33" s="203"/>
      <c r="C33" s="203"/>
      <c r="D33" s="203"/>
      <c r="E33" s="203"/>
      <c r="F33" s="97"/>
      <c r="G33" s="97"/>
      <c r="H33" s="98"/>
      <c r="I33" s="99"/>
      <c r="J33" s="112"/>
    </row>
    <row r="34" spans="1:10" x14ac:dyDescent="0.2">
      <c r="A34" s="100"/>
      <c r="B34" s="100"/>
      <c r="C34" s="100"/>
      <c r="D34" s="100"/>
      <c r="E34" s="100"/>
      <c r="F34" s="101"/>
      <c r="G34" s="101"/>
      <c r="H34" s="103" t="s">
        <v>158</v>
      </c>
      <c r="I34" s="104">
        <f>SUM(I20:I33)</f>
        <v>2605140</v>
      </c>
      <c r="J34" s="102"/>
    </row>
    <row r="35" spans="1:10" x14ac:dyDescent="0.2">
      <c r="A35" s="100"/>
      <c r="B35" s="100"/>
      <c r="C35" s="100"/>
      <c r="D35" s="100"/>
      <c r="E35" s="100"/>
      <c r="F35" s="101"/>
      <c r="G35" s="101"/>
      <c r="H35" s="103" t="s">
        <v>159</v>
      </c>
      <c r="I35" s="104">
        <f>I34*0.1</f>
        <v>260514</v>
      </c>
      <c r="J35" s="125">
        <v>0.1</v>
      </c>
    </row>
    <row r="36" spans="1:10" x14ac:dyDescent="0.2">
      <c r="A36" s="100"/>
      <c r="B36" s="100"/>
      <c r="C36" s="100"/>
      <c r="D36" s="100"/>
      <c r="E36" s="100"/>
      <c r="F36" s="101"/>
      <c r="G36" s="101"/>
      <c r="H36" s="103" t="s">
        <v>160</v>
      </c>
      <c r="I36" s="104">
        <f>SUM(I34:I35)</f>
        <v>2865654</v>
      </c>
      <c r="J36" s="102"/>
    </row>
    <row r="37" spans="1:10" ht="13.5" x14ac:dyDescent="0.2">
      <c r="A37" s="100"/>
      <c r="B37" s="100"/>
      <c r="C37" s="100"/>
      <c r="D37" s="100"/>
      <c r="E37" s="100"/>
      <c r="F37" s="101"/>
      <c r="G37" s="101"/>
      <c r="H37" s="100" t="s">
        <v>161</v>
      </c>
      <c r="I37" s="105"/>
      <c r="J37" s="102"/>
    </row>
    <row r="38" spans="1:10" ht="13.5" x14ac:dyDescent="0.2">
      <c r="A38" s="85" t="s">
        <v>207</v>
      </c>
      <c r="B38" s="100"/>
      <c r="C38" s="100"/>
      <c r="D38" s="100"/>
      <c r="E38" s="100"/>
      <c r="F38" s="101"/>
      <c r="G38" s="101"/>
      <c r="J38" s="102"/>
    </row>
    <row r="39" spans="1:10" ht="13.5" x14ac:dyDescent="0.2">
      <c r="A39" s="105" t="s">
        <v>171</v>
      </c>
      <c r="B39" s="105"/>
      <c r="C39" s="105"/>
      <c r="D39" s="105"/>
      <c r="E39" s="105"/>
      <c r="F39" s="105"/>
      <c r="G39" s="105"/>
      <c r="J39" s="107"/>
    </row>
    <row r="40" spans="1:10" ht="13.5" x14ac:dyDescent="0.2">
      <c r="A40" s="105" t="s">
        <v>170</v>
      </c>
      <c r="B40" s="105"/>
      <c r="C40" s="105"/>
      <c r="D40" s="105"/>
      <c r="E40" s="105"/>
      <c r="F40" s="105"/>
      <c r="G40" s="105"/>
      <c r="H40" s="105"/>
      <c r="I40" s="105"/>
      <c r="J40" s="105"/>
    </row>
    <row r="41" spans="1:10" ht="13.5" x14ac:dyDescent="0.2">
      <c r="A41" s="106"/>
      <c r="B41" s="105"/>
      <c r="C41" s="105"/>
      <c r="D41" s="105"/>
      <c r="E41" s="105"/>
      <c r="F41" s="105"/>
      <c r="G41" s="105"/>
      <c r="H41" s="105"/>
      <c r="I41" s="105"/>
      <c r="J41" s="85"/>
    </row>
    <row r="42" spans="1:10" ht="13.5" x14ac:dyDescent="0.2">
      <c r="A42" s="106" t="s">
        <v>208</v>
      </c>
      <c r="B42" s="105"/>
      <c r="C42" s="105"/>
      <c r="D42" s="105"/>
      <c r="E42" s="105"/>
      <c r="F42" s="105"/>
      <c r="G42" s="105"/>
      <c r="H42" s="105"/>
      <c r="I42" s="105"/>
      <c r="J42" s="85"/>
    </row>
    <row r="43" spans="1:10" ht="13.5" x14ac:dyDescent="0.2">
      <c r="A43" s="106" t="s">
        <v>174</v>
      </c>
      <c r="B43" s="105"/>
      <c r="C43" s="105"/>
      <c r="D43" s="105"/>
      <c r="E43" s="105"/>
      <c r="F43" s="105"/>
      <c r="G43" s="105"/>
      <c r="H43" s="105"/>
      <c r="I43" s="105"/>
      <c r="J43" s="85"/>
    </row>
    <row r="44" spans="1:10" ht="13.5" x14ac:dyDescent="0.2">
      <c r="A44" s="106" t="s">
        <v>175</v>
      </c>
      <c r="B44" s="105"/>
      <c r="C44" s="105"/>
      <c r="D44" s="105"/>
      <c r="E44" s="105"/>
      <c r="F44" s="105"/>
      <c r="G44" s="105"/>
      <c r="H44" s="105"/>
      <c r="I44" s="105"/>
      <c r="J44" s="85"/>
    </row>
    <row r="45" spans="1:10" ht="13.5" x14ac:dyDescent="0.2">
      <c r="A45" s="106" t="s">
        <v>176</v>
      </c>
      <c r="B45" s="105"/>
      <c r="C45" s="105"/>
      <c r="D45" s="105"/>
      <c r="E45" s="105"/>
      <c r="F45" s="105"/>
      <c r="G45" s="105"/>
      <c r="H45" s="105"/>
      <c r="I45" s="105"/>
      <c r="J45" s="85"/>
    </row>
    <row r="46" spans="1:10" ht="13.5" x14ac:dyDescent="0.2">
      <c r="A46" s="106"/>
      <c r="B46" s="105"/>
      <c r="C46" s="105"/>
      <c r="D46" s="105"/>
      <c r="E46" s="105"/>
      <c r="F46" s="105"/>
      <c r="G46" s="105"/>
      <c r="H46" s="105"/>
      <c r="I46" s="105"/>
      <c r="J46" s="85"/>
    </row>
    <row r="47" spans="1:10" ht="13.5" x14ac:dyDescent="0.2">
      <c r="A47" s="106" t="s">
        <v>209</v>
      </c>
      <c r="B47" s="105"/>
      <c r="C47" s="105"/>
      <c r="D47" s="105"/>
      <c r="E47" s="105"/>
      <c r="F47" s="105"/>
      <c r="G47" s="105"/>
      <c r="H47" s="105"/>
      <c r="I47" s="105"/>
      <c r="J47" s="85"/>
    </row>
    <row r="48" spans="1:10" ht="13.5" x14ac:dyDescent="0.2">
      <c r="A48" s="106" t="s">
        <v>177</v>
      </c>
      <c r="B48" s="105"/>
      <c r="C48" s="105"/>
      <c r="D48" s="105"/>
      <c r="E48" s="105"/>
      <c r="F48" s="105"/>
      <c r="G48" s="105"/>
      <c r="H48" s="105"/>
      <c r="I48" s="105"/>
      <c r="J48" s="85"/>
    </row>
    <row r="49" spans="1:10" ht="13.5" x14ac:dyDescent="0.2">
      <c r="A49" s="106"/>
      <c r="B49" s="105"/>
      <c r="C49" s="105"/>
      <c r="D49" s="105"/>
      <c r="E49" s="105"/>
      <c r="F49" s="105"/>
      <c r="G49" s="105"/>
      <c r="H49" s="105"/>
      <c r="I49" s="105"/>
      <c r="J49" s="85"/>
    </row>
    <row r="50" spans="1:10" ht="13.5" x14ac:dyDescent="0.2">
      <c r="A50" s="106" t="s">
        <v>223</v>
      </c>
      <c r="B50" s="105"/>
      <c r="C50" s="105"/>
      <c r="D50" s="105"/>
      <c r="E50" s="105"/>
      <c r="F50" s="105"/>
      <c r="G50" s="105"/>
      <c r="H50" s="105"/>
      <c r="I50" s="105"/>
      <c r="J50" s="85"/>
    </row>
    <row r="51" spans="1:10" ht="13.5" x14ac:dyDescent="0.2">
      <c r="A51" s="106" t="s">
        <v>183</v>
      </c>
      <c r="B51" s="105"/>
      <c r="C51" s="105"/>
      <c r="D51" s="105"/>
      <c r="E51" s="105"/>
      <c r="F51" s="105"/>
      <c r="G51" s="105"/>
      <c r="H51" s="105"/>
      <c r="I51" s="105"/>
      <c r="J51" s="85"/>
    </row>
    <row r="52" spans="1:10" ht="13.5" x14ac:dyDescent="0.2">
      <c r="A52" s="106"/>
      <c r="B52" s="105"/>
      <c r="C52" s="105"/>
      <c r="D52" s="105"/>
      <c r="E52" s="105"/>
      <c r="F52" s="105"/>
      <c r="G52" s="105"/>
      <c r="H52" s="105"/>
      <c r="I52" s="105"/>
      <c r="J52" s="85"/>
    </row>
    <row r="53" spans="1:10" ht="13.5" x14ac:dyDescent="0.2">
      <c r="A53" s="106" t="s">
        <v>224</v>
      </c>
      <c r="B53" s="105"/>
      <c r="C53" s="105"/>
      <c r="D53" s="105"/>
      <c r="E53" s="105"/>
      <c r="F53" s="105"/>
      <c r="G53" s="105"/>
      <c r="H53" s="105"/>
      <c r="I53" s="105"/>
      <c r="J53" s="85"/>
    </row>
    <row r="54" spans="1:10" ht="13.5" x14ac:dyDescent="0.2">
      <c r="A54" s="106" t="s">
        <v>217</v>
      </c>
      <c r="B54" s="105"/>
      <c r="C54" s="105"/>
      <c r="D54" s="105"/>
      <c r="E54" s="105"/>
      <c r="F54" s="105"/>
      <c r="G54" s="105"/>
      <c r="H54" s="105"/>
      <c r="I54" s="105"/>
      <c r="J54" s="85"/>
    </row>
    <row r="55" spans="1:10" ht="13.5" x14ac:dyDescent="0.2">
      <c r="A55" s="106" t="s">
        <v>218</v>
      </c>
      <c r="B55" s="105"/>
      <c r="C55" s="105"/>
      <c r="D55" s="105"/>
      <c r="E55" s="105"/>
      <c r="F55" s="105"/>
      <c r="G55" s="105"/>
      <c r="H55" s="105"/>
      <c r="I55" s="105"/>
      <c r="J55" s="85"/>
    </row>
    <row r="56" spans="1:10" ht="13.5" x14ac:dyDescent="0.2">
      <c r="A56" s="106"/>
      <c r="B56" s="105"/>
      <c r="C56" s="105"/>
      <c r="D56" s="105"/>
      <c r="E56" s="105"/>
      <c r="F56" s="105"/>
      <c r="G56" s="105"/>
      <c r="H56" s="105"/>
      <c r="I56" s="105"/>
      <c r="J56" s="85"/>
    </row>
    <row r="57" spans="1:10" ht="13.5" x14ac:dyDescent="0.2">
      <c r="A57" s="106" t="s">
        <v>184</v>
      </c>
      <c r="B57" s="105"/>
      <c r="C57" s="105"/>
      <c r="D57" s="105"/>
      <c r="E57" s="105"/>
      <c r="F57" s="105"/>
      <c r="G57" s="105"/>
      <c r="H57" s="105"/>
      <c r="I57" s="105"/>
      <c r="J57" s="85"/>
    </row>
    <row r="58" spans="1:10" ht="13.5" x14ac:dyDescent="0.2">
      <c r="A58" s="106"/>
      <c r="B58" s="105"/>
      <c r="C58" s="105"/>
      <c r="D58" s="105"/>
      <c r="E58" s="105"/>
      <c r="F58" s="105"/>
      <c r="G58" s="105"/>
      <c r="H58" s="105"/>
      <c r="I58" s="105"/>
      <c r="J58" s="85"/>
    </row>
    <row r="59" spans="1:10" ht="13.5" x14ac:dyDescent="0.2">
      <c r="A59" s="106"/>
      <c r="B59" s="105"/>
      <c r="C59" s="105"/>
      <c r="D59" s="105"/>
      <c r="E59" s="105"/>
      <c r="F59" s="105"/>
      <c r="G59" s="105"/>
      <c r="H59" s="105"/>
      <c r="I59" s="105"/>
      <c r="J59" s="85"/>
    </row>
    <row r="60" spans="1:10" ht="13.5" x14ac:dyDescent="0.2">
      <c r="A60" s="106"/>
      <c r="B60" s="105"/>
      <c r="C60" s="105"/>
      <c r="D60" s="105"/>
      <c r="E60" s="105"/>
      <c r="F60" s="105"/>
      <c r="G60" s="105"/>
      <c r="H60" s="105"/>
      <c r="I60" s="105"/>
      <c r="J60" s="85"/>
    </row>
    <row r="61" spans="1:10" ht="13.5" x14ac:dyDescent="0.2">
      <c r="A61" s="106"/>
      <c r="B61" s="105"/>
      <c r="C61" s="105"/>
      <c r="D61" s="105"/>
      <c r="E61" s="105"/>
      <c r="F61" s="105"/>
      <c r="G61" s="105"/>
      <c r="H61" s="105"/>
      <c r="I61" s="105"/>
      <c r="J61" s="85"/>
    </row>
    <row r="62" spans="1:10" ht="13.5" x14ac:dyDescent="0.2">
      <c r="A62" s="207" t="s">
        <v>162</v>
      </c>
      <c r="B62" s="207"/>
      <c r="C62" s="207"/>
      <c r="D62" s="207"/>
      <c r="E62" s="207"/>
      <c r="F62" s="207"/>
      <c r="G62" s="207"/>
      <c r="H62" s="207"/>
      <c r="I62" s="207"/>
      <c r="J62" s="207"/>
    </row>
    <row r="64" spans="1:10" x14ac:dyDescent="0.2">
      <c r="A64" s="130"/>
    </row>
  </sheetData>
  <mergeCells count="23">
    <mergeCell ref="H5:J5"/>
    <mergeCell ref="A23:E23"/>
    <mergeCell ref="A62:J62"/>
    <mergeCell ref="A1:J1"/>
    <mergeCell ref="A11:B11"/>
    <mergeCell ref="A16:E16"/>
    <mergeCell ref="F16:J16"/>
    <mergeCell ref="A17:E17"/>
    <mergeCell ref="H4:J4"/>
    <mergeCell ref="A19:E19"/>
    <mergeCell ref="A20:E20"/>
    <mergeCell ref="A21:E21"/>
    <mergeCell ref="A22:E22"/>
    <mergeCell ref="A24:E24"/>
    <mergeCell ref="A25:E25"/>
    <mergeCell ref="A26:E26"/>
    <mergeCell ref="A33:E33"/>
    <mergeCell ref="A30:E30"/>
    <mergeCell ref="A31:E31"/>
    <mergeCell ref="A32:E32"/>
    <mergeCell ref="A27:E27"/>
    <mergeCell ref="A28:E28"/>
    <mergeCell ref="A29:E29"/>
  </mergeCells>
  <phoneticPr fontId="1"/>
  <printOptions horizontalCentered="1"/>
  <pageMargins left="0" right="0" top="0.39370078740157483" bottom="0" header="0.19685039370078741" footer="0.31496062992125984"/>
  <pageSetup paperSize="9" orientation="portrait" r:id="rId1"/>
  <headerFooter>
    <oddHeader>&amp;R&amp;P/&amp;N</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showGridLines="0" zoomScale="115" zoomScaleNormal="115" workbookViewId="0">
      <selection activeCell="G17" sqref="G17"/>
    </sheetView>
  </sheetViews>
  <sheetFormatPr defaultRowHeight="13" x14ac:dyDescent="0.2"/>
  <cols>
    <col min="1" max="1" width="11.36328125" style="110" bestFit="1" customWidth="1"/>
    <col min="2" max="2" width="26.6328125" bestFit="1" customWidth="1"/>
    <col min="3" max="3" width="46" bestFit="1" customWidth="1"/>
    <col min="4" max="4" width="9" bestFit="1" customWidth="1"/>
  </cols>
  <sheetData>
    <row r="1" spans="1:6" x14ac:dyDescent="0.2">
      <c r="A1" s="110" t="s">
        <v>349</v>
      </c>
    </row>
    <row r="3" spans="1:6" x14ac:dyDescent="0.2">
      <c r="A3" s="110" t="s">
        <v>350</v>
      </c>
      <c r="B3" t="s">
        <v>352</v>
      </c>
      <c r="C3" t="s">
        <v>355</v>
      </c>
    </row>
    <row r="4" spans="1:6" x14ac:dyDescent="0.2">
      <c r="A4" s="195">
        <v>45608</v>
      </c>
      <c r="B4" s="196" t="s">
        <v>351</v>
      </c>
      <c r="C4" s="196" t="s">
        <v>122</v>
      </c>
    </row>
    <row r="5" spans="1:6" x14ac:dyDescent="0.2">
      <c r="A5" s="195">
        <v>45695</v>
      </c>
      <c r="B5" s="196" t="s">
        <v>353</v>
      </c>
      <c r="C5" s="196" t="s">
        <v>122</v>
      </c>
    </row>
    <row r="6" spans="1:6" ht="26" x14ac:dyDescent="0.2">
      <c r="A6" s="195"/>
      <c r="B6" s="196"/>
      <c r="C6" s="197" t="s">
        <v>356</v>
      </c>
      <c r="D6" s="194"/>
      <c r="F6" s="194"/>
    </row>
    <row r="7" spans="1:6" x14ac:dyDescent="0.2">
      <c r="A7" s="193">
        <v>45826</v>
      </c>
      <c r="B7" s="196" t="s">
        <v>354</v>
      </c>
      <c r="C7" t="s">
        <v>357</v>
      </c>
    </row>
    <row r="8" spans="1:6" x14ac:dyDescent="0.2">
      <c r="C8" t="s">
        <v>365</v>
      </c>
    </row>
    <row r="9" spans="1:6" x14ac:dyDescent="0.2">
      <c r="C9" t="s">
        <v>363</v>
      </c>
    </row>
    <row r="10" spans="1:6" x14ac:dyDescent="0.2">
      <c r="C10" t="s">
        <v>369</v>
      </c>
    </row>
    <row r="11" spans="1:6" x14ac:dyDescent="0.2">
      <c r="C11" t="s">
        <v>370</v>
      </c>
    </row>
    <row r="12" spans="1:6" x14ac:dyDescent="0.2">
      <c r="C12" t="s">
        <v>372</v>
      </c>
    </row>
    <row r="13" spans="1:6" x14ac:dyDescent="0.2">
      <c r="C13" t="s">
        <v>374</v>
      </c>
    </row>
    <row r="14" spans="1:6" x14ac:dyDescent="0.2">
      <c r="C14" t="s">
        <v>376</v>
      </c>
    </row>
  </sheetData>
  <phoneticPr fontId="1"/>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11</vt:i4>
      </vt:variant>
    </vt:vector>
  </HeadingPairs>
  <TitlesOfParts>
    <vt:vector size="25" baseType="lpstr">
      <vt:lpstr>要件定義書</vt:lpstr>
      <vt:lpstr>考察</vt:lpstr>
      <vt:lpstr>設備フロー</vt:lpstr>
      <vt:lpstr>データフロー</vt:lpstr>
      <vt:lpstr>業務フロー</vt:lpstr>
      <vt:lpstr>効果</vt:lpstr>
      <vt:lpstr>開発</vt:lpstr>
      <vt:lpstr>レイアウト</vt:lpstr>
      <vt:lpstr>購入リスト</vt:lpstr>
      <vt:lpstr>購入リスト_2026</vt:lpstr>
      <vt:lpstr>現状の問題点と解決方法</vt:lpstr>
      <vt:lpstr>具体的な比較</vt:lpstr>
      <vt:lpstr>見積書</vt:lpstr>
      <vt:lpstr>更新履歴</vt:lpstr>
      <vt:lpstr>データフロー!Print_Area</vt:lpstr>
      <vt:lpstr>レイアウト!Print_Area</vt:lpstr>
      <vt:lpstr>開発!Print_Area</vt:lpstr>
      <vt:lpstr>業務フロー!Print_Area</vt:lpstr>
      <vt:lpstr>具体的な比較!Print_Area</vt:lpstr>
      <vt:lpstr>見積書!Print_Area</vt:lpstr>
      <vt:lpstr>現状の問題点と解決方法!Print_Area</vt:lpstr>
      <vt:lpstr>効果!Print_Area</vt:lpstr>
      <vt:lpstr>購入リスト!Print_Area</vt:lpstr>
      <vt:lpstr>購入リスト_2026!Print_Area</vt:lpstr>
      <vt:lpstr>要件定義書!Print_Area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片岡哲兵</dc:creator>
  <cp:lastModifiedBy>片岡哲兵</cp:lastModifiedBy>
  <cp:lastPrinted>2025-02-07T07:30:14Z</cp:lastPrinted>
  <dcterms:created xsi:type="dcterms:W3CDTF">2024-10-11T11:38:19Z</dcterms:created>
  <dcterms:modified xsi:type="dcterms:W3CDTF">2026-02-08T02:39:26Z</dcterms:modified>
</cp:coreProperties>
</file>